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ott\Dropbox\Project Files\2020\"/>
    </mc:Choice>
  </mc:AlternateContent>
  <xr:revisionPtr revIDLastSave="0" documentId="13_ncr:1_{2B0D7DC2-DFF8-4E9A-A4F7-52DA9737CD5A}" xr6:coauthVersionLast="47" xr6:coauthVersionMax="47" xr10:uidLastSave="{00000000-0000-0000-0000-000000000000}"/>
  <bookViews>
    <workbookView xWindow="-28920" yWindow="1398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" l="1"/>
  <c r="H41" i="1"/>
  <c r="I41" i="1"/>
</calcChain>
</file>

<file path=xl/sharedStrings.xml><?xml version="1.0" encoding="utf-8"?>
<sst xmlns="http://schemas.openxmlformats.org/spreadsheetml/2006/main" count="115" uniqueCount="74">
  <si>
    <t>Item</t>
  </si>
  <si>
    <t>Description</t>
  </si>
  <si>
    <t>Unit</t>
  </si>
  <si>
    <t>Rate</t>
  </si>
  <si>
    <t>Quantity</t>
  </si>
  <si>
    <t>Total</t>
  </si>
  <si>
    <t>Amount Due (HE Variation no.1)</t>
  </si>
  <si>
    <t>Amount Due (HE Variation no.2</t>
  </si>
  <si>
    <t>weeks</t>
  </si>
  <si>
    <t>£   5,804.05</t>
  </si>
  <si>
    <t>£23,216.20</t>
  </si>
  <si>
    <t>VCL Works to Apartments</t>
  </si>
  <si>
    <t>nr</t>
  </si>
  <si>
    <t>£   8,859.00</t>
  </si>
  <si>
    <t>£150,603.00</t>
  </si>
  <si>
    <t>Materials on site purchased for the VCL works</t>
  </si>
  <si>
    <t>item</t>
  </si>
  <si>
    <t>£   5,095.50</t>
  </si>
  <si>
    <t>£5,095.50</t>
  </si>
  <si>
    <t>£17,412.15</t>
  </si>
  <si>
    <t>New slimsline designed scaffold to Re'new yard</t>
  </si>
  <si>
    <t>£23,000.00</t>
  </si>
  <si>
    <t>Remedial Solution to corners of building - Block 1</t>
  </si>
  <si>
    <t>£22,928.06</t>
  </si>
  <si>
    <t>Additional costs for the VCL works to apartment 125 &amp; 122 being completed in isolation and out of sequence with the programmed works</t>
  </si>
  <si>
    <t>£   6,174.00</t>
  </si>
  <si>
    <t>£12,348.00</t>
  </si>
  <si>
    <t>Design, supply and installation of Non ACM Panels to isolated areas at Penthouse Level</t>
  </si>
  <si>
    <t>£   6,106.00</t>
  </si>
  <si>
    <t>£6,106.00</t>
  </si>
  <si>
    <t>Scaffolding to Phase two to be erected and hired earlier to accommodate additional lead-in time for delivery of panels. Hire to commence 25.06.2021</t>
  </si>
  <si>
    <t>£   1,450.00</t>
  </si>
  <si>
    <t>£8,700.00</t>
  </si>
  <si>
    <t>Removal of Glass curtain walling at the boundaries of the properties as requested and required by IFC and Wintech</t>
  </si>
  <si>
    <t>location</t>
  </si>
  <si>
    <t>£   1,575.00</t>
  </si>
  <si>
    <t>£3,150.00</t>
  </si>
  <si>
    <t>Additional 12 weeks extension to previous programme 26.03.2021 to take account of all revised and additional fire requirements by IFC and all additional cladding requirements by Wintech</t>
  </si>
  <si>
    <t>£69,648.60</t>
  </si>
  <si>
    <t>Additional 5 weeks due to delay in material shortages from Cladding manufacturer and the powder coaters</t>
  </si>
  <si>
    <t>£29,020.25</t>
  </si>
  <si>
    <t>Remedial Solution to corners of building - Block 2</t>
  </si>
  <si>
    <t>Design, supply and installation of Non ACM Panels to isolated areas at Penthouse Level as required by IFC &amp; Wintech</t>
  </si>
  <si>
    <t>Carparking - 12 spaces x £84/week x 14 weeks</t>
  </si>
  <si>
    <t>£14,112.00</t>
  </si>
  <si>
    <t>Additional works to apartment 239</t>
  </si>
  <si>
    <t>£   2,150.00</t>
  </si>
  <si>
    <t>£2,150.00</t>
  </si>
  <si>
    <t>Replacement of broken kitchen splashes - part of VCL works</t>
  </si>
  <si>
    <t>£       350.00</t>
  </si>
  <si>
    <t>£3,500.00</t>
  </si>
  <si>
    <t>Remove cladding panels from wall and drill additional weep holes in them - Block 1</t>
  </si>
  <si>
    <t>£   5,250.00</t>
  </si>
  <si>
    <t>£5,250.00</t>
  </si>
  <si>
    <t>Bathroom tiling to accommodate VCL works</t>
  </si>
  <si>
    <t>£5,040.00</t>
  </si>
  <si>
    <t>TOTAL</t>
  </si>
  <si>
    <r>
      <rPr>
        <b/>
        <sz val="10"/>
        <rFont val="Calibri"/>
        <family val="2"/>
      </rPr>
      <t>Works
Complete</t>
    </r>
  </si>
  <si>
    <r>
      <rPr>
        <sz val="10"/>
        <rFont val="Calibri"/>
        <family val="2"/>
      </rPr>
      <t>Works delayed until a decision is made by HE on the
required VCL works</t>
    </r>
  </si>
  <si>
    <r>
      <rPr>
        <sz val="10"/>
        <rFont val="Calibri"/>
        <family val="2"/>
      </rPr>
      <t>Additional three weeks extension due to HE decision in
relation to VCL works</t>
    </r>
  </si>
  <si>
    <t>D&amp;B contract, scaffolding requirements contractor risk</t>
  </si>
  <si>
    <t>Steelwork missing from initial construction - does seem valid remedial works nothing to do with contractor</t>
  </si>
  <si>
    <t>VCL works</t>
  </si>
  <si>
    <t>ditto</t>
  </si>
  <si>
    <t>Wouldn’t expect to see this as a variation, contractor risk item?</t>
  </si>
  <si>
    <t>Does seem valid remedial works nothing to do with contractor</t>
  </si>
  <si>
    <t>IFC fire design specifically excluded from contractor responsibilities</t>
  </si>
  <si>
    <t>Should the requirement to displace parking have been foreseen by contractor/team who put contract together?</t>
  </si>
  <si>
    <t>Don’t know what this is</t>
  </si>
  <si>
    <t>Same comment as VCL above</t>
  </si>
  <si>
    <t>Vapour barrier missed from initial design by  designers - designers employed direct by 2020 House. Fire design exclusion exists in JCT contract with main contractor - is this related to fire design - not clear.</t>
  </si>
  <si>
    <t>SRA Comments</t>
  </si>
  <si>
    <t>£240,614.96 additional funding provided for this work by Homes England</t>
  </si>
  <si>
    <t>Additional Funding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</si>
</sst>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7" x14ac:knownFonts="1">
    <font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sz val="10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5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44" fontId="3" fillId="0" borderId="1" xfId="1" applyFont="1" applyFill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left" vertical="top" shrinkToFit="1"/>
    </xf>
    <xf numFmtId="0" fontId="2" fillId="0" borderId="3" xfId="0" applyFont="1" applyBorder="1" applyAlignment="1">
      <alignment horizontal="center" vertical="center" wrapText="1"/>
    </xf>
    <xf numFmtId="44" fontId="2" fillId="0" borderId="3" xfId="1" applyFont="1" applyFill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shrinkToFit="1"/>
    </xf>
    <xf numFmtId="0" fontId="2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 vertical="center" wrapText="1"/>
    </xf>
    <xf numFmtId="44" fontId="4" fillId="0" borderId="2" xfId="1" applyFont="1" applyFill="1" applyBorder="1" applyAlignment="1">
      <alignment horizontal="center" vertical="center" wrapText="1"/>
    </xf>
    <xf numFmtId="44" fontId="4" fillId="0" borderId="3" xfId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center" vertical="center" wrapText="1"/>
    </xf>
    <xf numFmtId="44" fontId="4" fillId="0" borderId="4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44" fontId="4" fillId="0" borderId="0" xfId="1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9" fontId="4" fillId="0" borderId="3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4" fontId="4" fillId="0" borderId="2" xfId="1" applyFont="1" applyFill="1" applyBorder="1" applyAlignment="1">
      <alignment horizontal="center" vertical="center" wrapText="1"/>
    </xf>
    <xf numFmtId="44" fontId="4" fillId="0" borderId="4" xfId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4" fontId="3" fillId="0" borderId="2" xfId="1" applyFont="1" applyFill="1" applyBorder="1" applyAlignment="1">
      <alignment horizontal="center" vertical="center" wrapText="1"/>
    </xf>
    <xf numFmtId="44" fontId="3" fillId="0" borderId="4" xfId="1" applyFont="1" applyFill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left" vertical="top" shrinkToFi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44" fontId="2" fillId="0" borderId="3" xfId="1" applyFont="1" applyFill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shrinkToFit="1"/>
    </xf>
    <xf numFmtId="2" fontId="4" fillId="0" borderId="3" xfId="0" applyNumberFormat="1" applyFont="1" applyBorder="1" applyAlignment="1">
      <alignment horizontal="left" vertical="center" shrinkToFit="1"/>
    </xf>
    <xf numFmtId="0" fontId="4" fillId="0" borderId="0" xfId="1" applyNumberFormat="1" applyFont="1" applyFill="1" applyAlignment="1">
      <alignment horizontal="center" vertical="center" wrapText="1"/>
    </xf>
    <xf numFmtId="0" fontId="4" fillId="0" borderId="0" xfId="1" applyNumberFormat="1" applyFont="1" applyAlignment="1">
      <alignment horizontal="left" vertical="center" wrapText="1"/>
    </xf>
    <xf numFmtId="44" fontId="3" fillId="0" borderId="7" xfId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1" applyNumberFormat="1" applyFont="1" applyBorder="1" applyAlignment="1">
      <alignment horizontal="left" vertical="center" wrapText="1"/>
    </xf>
    <xf numFmtId="0" fontId="6" fillId="0" borderId="6" xfId="1" applyNumberFormat="1" applyFont="1" applyBorder="1" applyAlignment="1">
      <alignment horizontal="left" vertical="center" wrapText="1"/>
    </xf>
    <xf numFmtId="0" fontId="4" fillId="0" borderId="6" xfId="1" applyNumberFormat="1" applyFont="1" applyBorder="1" applyAlignment="1">
      <alignment horizontal="left" vertical="center" wrapText="1"/>
    </xf>
    <xf numFmtId="0" fontId="6" fillId="0" borderId="6" xfId="1" applyNumberFormat="1" applyFont="1" applyBorder="1" applyAlignment="1">
      <alignment horizontal="left" vertical="center" wrapText="1"/>
    </xf>
    <xf numFmtId="44" fontId="4" fillId="0" borderId="5" xfId="1" applyFont="1" applyFill="1" applyBorder="1" applyAlignment="1">
      <alignment horizontal="center" vertical="center" wrapText="1"/>
    </xf>
    <xf numFmtId="44" fontId="2" fillId="0" borderId="5" xfId="1" applyFont="1" applyFill="1" applyBorder="1" applyAlignment="1">
      <alignment horizontal="center" vertical="center" wrapText="1"/>
    </xf>
    <xf numFmtId="44" fontId="2" fillId="0" borderId="5" xfId="1" applyFont="1" applyFill="1" applyBorder="1" applyAlignment="1">
      <alignment horizontal="center" vertical="center" wrapText="1"/>
    </xf>
    <xf numFmtId="44" fontId="4" fillId="0" borderId="8" xfId="1" applyFont="1" applyFill="1" applyBorder="1" applyAlignment="1">
      <alignment horizontal="center" vertical="center" wrapText="1"/>
    </xf>
    <xf numFmtId="44" fontId="3" fillId="0" borderId="9" xfId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44" fontId="4" fillId="0" borderId="6" xfId="1" applyFont="1" applyBorder="1" applyAlignment="1">
      <alignment horizontal="left" vertical="center" wrapText="1"/>
    </xf>
    <xf numFmtId="44" fontId="4" fillId="0" borderId="0" xfId="1" applyNumberFormat="1" applyFont="1" applyAlignment="1">
      <alignment horizontal="left" vertical="center" wrapText="1"/>
    </xf>
    <xf numFmtId="44" fontId="4" fillId="0" borderId="3" xfId="1" applyFont="1" applyFill="1" applyBorder="1" applyAlignment="1">
      <alignment vertical="center" wrapText="1"/>
    </xf>
    <xf numFmtId="44" fontId="4" fillId="0" borderId="4" xfId="1" applyFont="1" applyFill="1" applyBorder="1" applyAlignment="1">
      <alignment vertical="center" wrapText="1"/>
    </xf>
    <xf numFmtId="2" fontId="4" fillId="2" borderId="3" xfId="0" applyNumberFormat="1" applyFont="1" applyFill="1" applyBorder="1" applyAlignment="1">
      <alignment horizontal="left" vertical="top" shrinkToFit="1"/>
    </xf>
    <xf numFmtId="0" fontId="2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44" fontId="2" fillId="2" borderId="3" xfId="1" applyFont="1" applyFill="1" applyBorder="1" applyAlignment="1">
      <alignment horizontal="center" vertical="center" wrapText="1"/>
    </xf>
    <xf numFmtId="2" fontId="4" fillId="2" borderId="3" xfId="0" applyNumberFormat="1" applyFont="1" applyFill="1" applyBorder="1" applyAlignment="1">
      <alignment horizontal="center" vertical="center" shrinkToFit="1"/>
    </xf>
    <xf numFmtId="44" fontId="4" fillId="2" borderId="3" xfId="1" applyFont="1" applyFill="1" applyBorder="1" applyAlignment="1">
      <alignment vertical="center" wrapText="1"/>
    </xf>
    <xf numFmtId="44" fontId="2" fillId="2" borderId="5" xfId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6" xfId="1" applyNumberFormat="1" applyFont="1" applyFill="1" applyBorder="1" applyAlignment="1">
      <alignment horizontal="left" vertical="center" wrapText="1"/>
    </xf>
    <xf numFmtId="2" fontId="4" fillId="2" borderId="3" xfId="0" applyNumberFormat="1" applyFont="1" applyFill="1" applyBorder="1" applyAlignment="1">
      <alignment horizontal="left" vertical="center" shrinkToFit="1"/>
    </xf>
    <xf numFmtId="44" fontId="3" fillId="0" borderId="5" xfId="1" applyFont="1" applyFill="1" applyBorder="1" applyAlignment="1">
      <alignment horizontal="center" vertical="center" wrapText="1"/>
    </xf>
    <xf numFmtId="44" fontId="5" fillId="0" borderId="6" xfId="1" applyFont="1" applyFill="1" applyBorder="1" applyAlignment="1">
      <alignment horizontal="center" vertical="center"/>
    </xf>
    <xf numFmtId="44" fontId="4" fillId="0" borderId="0" xfId="0" applyNumberFormat="1" applyFont="1" applyAlignment="1">
      <alignment horizontal="left" vertical="top" wrapText="1"/>
    </xf>
    <xf numFmtId="44" fontId="3" fillId="0" borderId="6" xfId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5"/>
  <sheetViews>
    <sheetView tabSelected="1" zoomScale="90" zoomScaleNormal="90" workbookViewId="0">
      <selection activeCell="K6" sqref="K6"/>
    </sheetView>
  </sheetViews>
  <sheetFormatPr defaultRowHeight="13.5" x14ac:dyDescent="0.65"/>
  <cols>
    <col min="1" max="1" width="5.59765625" style="9" bestFit="1" customWidth="1"/>
    <col min="2" max="2" width="56.59765625" style="19" customWidth="1"/>
    <col min="3" max="3" width="7.84765625" style="20" customWidth="1"/>
    <col min="4" max="4" width="14.75" style="21" customWidth="1"/>
    <col min="5" max="5" width="9.046875" style="20" customWidth="1"/>
    <col min="6" max="6" width="14.75" style="20" customWidth="1"/>
    <col min="7" max="7" width="11" style="20" customWidth="1"/>
    <col min="8" max="8" width="15.046875" style="21" customWidth="1"/>
    <col min="9" max="9" width="17.44921875" style="21" customWidth="1"/>
    <col min="10" max="10" width="56.94921875" style="19" customWidth="1"/>
    <col min="11" max="11" width="55.44921875" style="42" customWidth="1"/>
    <col min="12" max="16384" width="8.796875" style="9"/>
  </cols>
  <sheetData>
    <row r="1" spans="1:11" ht="39.75" customHeight="1" x14ac:dyDescent="0.65">
      <c r="A1" s="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8" t="s">
        <v>57</v>
      </c>
      <c r="H1" s="2" t="s">
        <v>6</v>
      </c>
      <c r="I1" s="2" t="s">
        <v>7</v>
      </c>
      <c r="J1" s="43" t="s">
        <v>71</v>
      </c>
      <c r="K1" s="73" t="s">
        <v>73</v>
      </c>
    </row>
    <row r="2" spans="1:11" ht="20" customHeight="1" x14ac:dyDescent="0.7">
      <c r="A2" s="10"/>
      <c r="B2" s="10"/>
      <c r="C2" s="11"/>
      <c r="D2" s="12"/>
      <c r="E2" s="11"/>
      <c r="F2" s="11"/>
      <c r="G2" s="11"/>
      <c r="H2" s="12"/>
      <c r="I2" s="12"/>
      <c r="J2" s="44"/>
      <c r="K2" s="45"/>
    </row>
    <row r="3" spans="1:11" ht="67.5" x14ac:dyDescent="0.65">
      <c r="A3" s="3">
        <v>1</v>
      </c>
      <c r="B3" s="23" t="s">
        <v>58</v>
      </c>
      <c r="C3" s="4" t="s">
        <v>8</v>
      </c>
      <c r="D3" s="5" t="s">
        <v>9</v>
      </c>
      <c r="E3" s="6">
        <v>4</v>
      </c>
      <c r="F3" s="4" t="s">
        <v>10</v>
      </c>
      <c r="G3" s="24">
        <v>1</v>
      </c>
      <c r="H3" s="5">
        <v>23216.2</v>
      </c>
      <c r="I3" s="49"/>
      <c r="J3" s="54" t="s">
        <v>70</v>
      </c>
      <c r="K3" s="46" t="s">
        <v>72</v>
      </c>
    </row>
    <row r="4" spans="1:11" ht="20" customHeight="1" x14ac:dyDescent="0.7">
      <c r="A4" s="14"/>
      <c r="B4" s="14"/>
      <c r="C4" s="15"/>
      <c r="D4" s="13"/>
      <c r="E4" s="15"/>
      <c r="F4" s="15"/>
      <c r="G4" s="15"/>
      <c r="H4" s="13"/>
      <c r="I4" s="49"/>
      <c r="J4" s="54"/>
      <c r="K4" s="45"/>
    </row>
    <row r="5" spans="1:11" ht="20" customHeight="1" x14ac:dyDescent="0.65">
      <c r="A5" s="3">
        <v>2</v>
      </c>
      <c r="B5" s="7" t="s">
        <v>11</v>
      </c>
      <c r="C5" s="4" t="s">
        <v>12</v>
      </c>
      <c r="D5" s="5" t="s">
        <v>13</v>
      </c>
      <c r="E5" s="6">
        <v>17</v>
      </c>
      <c r="F5" s="4" t="s">
        <v>14</v>
      </c>
      <c r="G5" s="6">
        <v>17</v>
      </c>
      <c r="H5" s="5">
        <v>150603</v>
      </c>
      <c r="I5" s="49"/>
      <c r="J5" s="54" t="s">
        <v>63</v>
      </c>
      <c r="K5" s="45" t="s">
        <v>63</v>
      </c>
    </row>
    <row r="6" spans="1:11" ht="20" customHeight="1" x14ac:dyDescent="0.7">
      <c r="A6" s="14"/>
      <c r="B6" s="14"/>
      <c r="C6" s="15"/>
      <c r="D6" s="13"/>
      <c r="E6" s="15"/>
      <c r="F6" s="15"/>
      <c r="G6" s="15"/>
      <c r="H6" s="13"/>
      <c r="I6" s="49"/>
      <c r="J6" s="54"/>
      <c r="K6" s="45"/>
    </row>
    <row r="7" spans="1:11" ht="20" customHeight="1" x14ac:dyDescent="0.65">
      <c r="A7" s="3">
        <v>3</v>
      </c>
      <c r="B7" s="7" t="s">
        <v>15</v>
      </c>
      <c r="C7" s="4" t="s">
        <v>16</v>
      </c>
      <c r="D7" s="5" t="s">
        <v>17</v>
      </c>
      <c r="E7" s="6">
        <v>1</v>
      </c>
      <c r="F7" s="4" t="s">
        <v>18</v>
      </c>
      <c r="G7" s="6">
        <v>1</v>
      </c>
      <c r="H7" s="5">
        <v>5095.5</v>
      </c>
      <c r="I7" s="49"/>
      <c r="J7" s="54" t="s">
        <v>63</v>
      </c>
      <c r="K7" s="45" t="s">
        <v>63</v>
      </c>
    </row>
    <row r="8" spans="1:11" ht="20" customHeight="1" x14ac:dyDescent="0.7">
      <c r="A8" s="14"/>
      <c r="B8" s="14"/>
      <c r="C8" s="15"/>
      <c r="D8" s="13"/>
      <c r="E8" s="15"/>
      <c r="F8" s="15"/>
      <c r="G8" s="15"/>
      <c r="H8" s="13"/>
      <c r="I8" s="49"/>
      <c r="J8" s="54"/>
      <c r="K8" s="45"/>
    </row>
    <row r="9" spans="1:11" ht="35.75" customHeight="1" x14ac:dyDescent="0.65">
      <c r="A9" s="3">
        <v>4</v>
      </c>
      <c r="B9" s="23" t="s">
        <v>59</v>
      </c>
      <c r="C9" s="4" t="s">
        <v>8</v>
      </c>
      <c r="D9" s="5" t="s">
        <v>9</v>
      </c>
      <c r="E9" s="6">
        <v>3</v>
      </c>
      <c r="F9" s="4" t="s">
        <v>19</v>
      </c>
      <c r="G9" s="6">
        <v>3</v>
      </c>
      <c r="H9" s="5">
        <v>17412.150000000001</v>
      </c>
      <c r="I9" s="49"/>
      <c r="J9" s="54" t="s">
        <v>63</v>
      </c>
      <c r="K9" s="45" t="s">
        <v>63</v>
      </c>
    </row>
    <row r="10" spans="1:11" ht="20" customHeight="1" x14ac:dyDescent="0.7">
      <c r="A10" s="14"/>
      <c r="B10" s="14"/>
      <c r="C10" s="15"/>
      <c r="D10" s="13"/>
      <c r="E10" s="15"/>
      <c r="F10" s="15"/>
      <c r="G10" s="15"/>
      <c r="H10" s="13"/>
      <c r="I10" s="49"/>
      <c r="J10" s="54"/>
      <c r="K10" s="45"/>
    </row>
    <row r="11" spans="1:11" ht="20" customHeight="1" x14ac:dyDescent="0.65">
      <c r="A11" s="35">
        <v>5</v>
      </c>
      <c r="B11" s="36" t="s">
        <v>20</v>
      </c>
      <c r="C11" s="37" t="s">
        <v>0</v>
      </c>
      <c r="D11" s="38" t="s">
        <v>21</v>
      </c>
      <c r="E11" s="39">
        <v>1</v>
      </c>
      <c r="F11" s="37" t="s">
        <v>21</v>
      </c>
      <c r="G11" s="6">
        <v>1</v>
      </c>
      <c r="H11" s="13"/>
      <c r="I11" s="50">
        <v>23000</v>
      </c>
      <c r="J11" s="55" t="s">
        <v>60</v>
      </c>
      <c r="K11" s="47"/>
    </row>
    <row r="12" spans="1:11" ht="20" customHeight="1" x14ac:dyDescent="0.65">
      <c r="A12" s="35"/>
      <c r="B12" s="36"/>
      <c r="C12" s="37"/>
      <c r="D12" s="38"/>
      <c r="E12" s="39"/>
      <c r="F12" s="37"/>
      <c r="G12" s="15"/>
      <c r="H12" s="13"/>
      <c r="I12" s="49"/>
      <c r="J12" s="55"/>
      <c r="K12" s="47"/>
    </row>
    <row r="13" spans="1:11" ht="20" customHeight="1" x14ac:dyDescent="0.65">
      <c r="A13" s="69">
        <v>6</v>
      </c>
      <c r="B13" s="74" t="s">
        <v>22</v>
      </c>
      <c r="C13" s="62" t="s">
        <v>16</v>
      </c>
      <c r="D13" s="63" t="s">
        <v>23</v>
      </c>
      <c r="E13" s="64">
        <v>1</v>
      </c>
      <c r="F13" s="62" t="s">
        <v>23</v>
      </c>
      <c r="G13" s="64">
        <v>1</v>
      </c>
      <c r="H13" s="65"/>
      <c r="I13" s="66">
        <v>22928.06</v>
      </c>
      <c r="J13" s="67" t="s">
        <v>61</v>
      </c>
      <c r="K13" s="68"/>
    </row>
    <row r="14" spans="1:11" ht="33.5" customHeight="1" x14ac:dyDescent="0.65">
      <c r="A14" s="69"/>
      <c r="B14" s="74"/>
      <c r="C14" s="62"/>
      <c r="D14" s="63"/>
      <c r="E14" s="64"/>
      <c r="F14" s="62"/>
      <c r="G14" s="64"/>
      <c r="H14" s="65"/>
      <c r="I14" s="66"/>
      <c r="J14" s="67"/>
      <c r="K14" s="68"/>
    </row>
    <row r="15" spans="1:11" ht="20" customHeight="1" x14ac:dyDescent="0.65">
      <c r="A15" s="40">
        <v>7</v>
      </c>
      <c r="B15" s="36" t="s">
        <v>24</v>
      </c>
      <c r="C15" s="37" t="s">
        <v>12</v>
      </c>
      <c r="D15" s="38" t="s">
        <v>25</v>
      </c>
      <c r="E15" s="39">
        <v>2</v>
      </c>
      <c r="F15" s="37" t="s">
        <v>26</v>
      </c>
      <c r="G15" s="39">
        <v>2</v>
      </c>
      <c r="H15" s="58"/>
      <c r="I15" s="51">
        <v>12348</v>
      </c>
      <c r="J15" s="55" t="s">
        <v>62</v>
      </c>
      <c r="K15" s="48" t="s">
        <v>72</v>
      </c>
    </row>
    <row r="16" spans="1:11" ht="31.25" customHeight="1" x14ac:dyDescent="0.65">
      <c r="A16" s="40"/>
      <c r="B16" s="36"/>
      <c r="C16" s="37"/>
      <c r="D16" s="38"/>
      <c r="E16" s="39"/>
      <c r="F16" s="37"/>
      <c r="G16" s="39"/>
      <c r="H16" s="58"/>
      <c r="I16" s="51"/>
      <c r="J16" s="55"/>
      <c r="K16" s="48"/>
    </row>
    <row r="17" spans="1:11" ht="20" customHeight="1" x14ac:dyDescent="0.65">
      <c r="A17" s="60">
        <v>8</v>
      </c>
      <c r="B17" s="61" t="s">
        <v>27</v>
      </c>
      <c r="C17" s="62" t="s">
        <v>16</v>
      </c>
      <c r="D17" s="63" t="s">
        <v>28</v>
      </c>
      <c r="E17" s="64">
        <v>1</v>
      </c>
      <c r="F17" s="62" t="s">
        <v>29</v>
      </c>
      <c r="G17" s="64">
        <v>1</v>
      </c>
      <c r="H17" s="65"/>
      <c r="I17" s="66">
        <v>6106</v>
      </c>
      <c r="J17" s="67" t="s">
        <v>65</v>
      </c>
      <c r="K17" s="68"/>
    </row>
    <row r="18" spans="1:11" ht="28.25" customHeight="1" x14ac:dyDescent="0.65">
      <c r="A18" s="60"/>
      <c r="B18" s="61"/>
      <c r="C18" s="62"/>
      <c r="D18" s="63"/>
      <c r="E18" s="64"/>
      <c r="F18" s="62"/>
      <c r="G18" s="64"/>
      <c r="H18" s="65"/>
      <c r="I18" s="66"/>
      <c r="J18" s="67"/>
      <c r="K18" s="68"/>
    </row>
    <row r="19" spans="1:11" ht="20" customHeight="1" x14ac:dyDescent="0.65">
      <c r="A19" s="35">
        <v>9</v>
      </c>
      <c r="B19" s="36" t="s">
        <v>30</v>
      </c>
      <c r="C19" s="37" t="s">
        <v>8</v>
      </c>
      <c r="D19" s="38" t="s">
        <v>31</v>
      </c>
      <c r="E19" s="39">
        <v>6</v>
      </c>
      <c r="F19" s="37" t="s">
        <v>32</v>
      </c>
      <c r="G19" s="39">
        <v>6</v>
      </c>
      <c r="H19" s="58"/>
      <c r="I19" s="51">
        <v>8700</v>
      </c>
      <c r="J19" s="55" t="s">
        <v>64</v>
      </c>
      <c r="K19" s="47"/>
    </row>
    <row r="20" spans="1:11" ht="35" customHeight="1" x14ac:dyDescent="0.65">
      <c r="A20" s="35"/>
      <c r="B20" s="36"/>
      <c r="C20" s="37"/>
      <c r="D20" s="38"/>
      <c r="E20" s="39"/>
      <c r="F20" s="37"/>
      <c r="G20" s="39"/>
      <c r="H20" s="58"/>
      <c r="I20" s="51"/>
      <c r="J20" s="55"/>
      <c r="K20" s="47"/>
    </row>
    <row r="21" spans="1:11" ht="20" customHeight="1" x14ac:dyDescent="0.65">
      <c r="A21" s="69">
        <v>10</v>
      </c>
      <c r="B21" s="61" t="s">
        <v>33</v>
      </c>
      <c r="C21" s="62" t="s">
        <v>34</v>
      </c>
      <c r="D21" s="63" t="s">
        <v>35</v>
      </c>
      <c r="E21" s="64">
        <v>2</v>
      </c>
      <c r="F21" s="62" t="s">
        <v>36</v>
      </c>
      <c r="G21" s="64">
        <v>1</v>
      </c>
      <c r="H21" s="65"/>
      <c r="I21" s="66">
        <v>3150</v>
      </c>
      <c r="J21" s="67" t="s">
        <v>66</v>
      </c>
      <c r="K21" s="68"/>
    </row>
    <row r="22" spans="1:11" ht="23.75" customHeight="1" x14ac:dyDescent="0.65">
      <c r="A22" s="69"/>
      <c r="B22" s="61"/>
      <c r="C22" s="62"/>
      <c r="D22" s="63"/>
      <c r="E22" s="64"/>
      <c r="F22" s="62"/>
      <c r="G22" s="64"/>
      <c r="H22" s="65"/>
      <c r="I22" s="66"/>
      <c r="J22" s="67"/>
      <c r="K22" s="68"/>
    </row>
    <row r="23" spans="1:11" ht="20" customHeight="1" x14ac:dyDescent="0.65">
      <c r="A23" s="69">
        <v>11</v>
      </c>
      <c r="B23" s="61" t="s">
        <v>37</v>
      </c>
      <c r="C23" s="62" t="s">
        <v>8</v>
      </c>
      <c r="D23" s="63" t="s">
        <v>9</v>
      </c>
      <c r="E23" s="64">
        <v>12</v>
      </c>
      <c r="F23" s="62" t="s">
        <v>38</v>
      </c>
      <c r="G23" s="64">
        <v>12</v>
      </c>
      <c r="H23" s="65"/>
      <c r="I23" s="66">
        <v>69648.600000000006</v>
      </c>
      <c r="J23" s="67" t="s">
        <v>66</v>
      </c>
      <c r="K23" s="68"/>
    </row>
    <row r="24" spans="1:11" ht="44.75" customHeight="1" x14ac:dyDescent="0.65">
      <c r="A24" s="69"/>
      <c r="B24" s="61"/>
      <c r="C24" s="62"/>
      <c r="D24" s="63"/>
      <c r="E24" s="64"/>
      <c r="F24" s="62"/>
      <c r="G24" s="64"/>
      <c r="H24" s="65"/>
      <c r="I24" s="66"/>
      <c r="J24" s="67"/>
      <c r="K24" s="68"/>
    </row>
    <row r="25" spans="1:11" ht="20" customHeight="1" x14ac:dyDescent="0.65">
      <c r="A25" s="40">
        <v>12</v>
      </c>
      <c r="B25" s="36" t="s">
        <v>39</v>
      </c>
      <c r="C25" s="37" t="s">
        <v>8</v>
      </c>
      <c r="D25" s="38" t="s">
        <v>9</v>
      </c>
      <c r="E25" s="39">
        <v>5</v>
      </c>
      <c r="F25" s="37" t="s">
        <v>40</v>
      </c>
      <c r="G25" s="39">
        <v>5</v>
      </c>
      <c r="H25" s="58"/>
      <c r="I25" s="51">
        <v>29020.25</v>
      </c>
      <c r="J25" s="55" t="s">
        <v>64</v>
      </c>
      <c r="K25" s="47"/>
    </row>
    <row r="26" spans="1:11" ht="20" customHeight="1" x14ac:dyDescent="0.65">
      <c r="A26" s="40"/>
      <c r="B26" s="36"/>
      <c r="C26" s="37"/>
      <c r="D26" s="38"/>
      <c r="E26" s="39"/>
      <c r="F26" s="37"/>
      <c r="G26" s="39"/>
      <c r="H26" s="58"/>
      <c r="I26" s="51"/>
      <c r="J26" s="55"/>
      <c r="K26" s="47"/>
    </row>
    <row r="27" spans="1:11" ht="20" customHeight="1" x14ac:dyDescent="0.65">
      <c r="A27" s="60">
        <v>13</v>
      </c>
      <c r="B27" s="61" t="s">
        <v>41</v>
      </c>
      <c r="C27" s="62" t="s">
        <v>16</v>
      </c>
      <c r="D27" s="63" t="s">
        <v>23</v>
      </c>
      <c r="E27" s="64">
        <v>1</v>
      </c>
      <c r="F27" s="62" t="s">
        <v>23</v>
      </c>
      <c r="G27" s="64">
        <v>1</v>
      </c>
      <c r="H27" s="65"/>
      <c r="I27" s="66">
        <v>22928.06</v>
      </c>
      <c r="J27" s="67" t="s">
        <v>65</v>
      </c>
      <c r="K27" s="68"/>
    </row>
    <row r="28" spans="1:11" ht="20" customHeight="1" x14ac:dyDescent="0.65">
      <c r="A28" s="60"/>
      <c r="B28" s="61"/>
      <c r="C28" s="62"/>
      <c r="D28" s="63"/>
      <c r="E28" s="64"/>
      <c r="F28" s="62"/>
      <c r="G28" s="64"/>
      <c r="H28" s="65"/>
      <c r="I28" s="66"/>
      <c r="J28" s="67"/>
      <c r="K28" s="68"/>
    </row>
    <row r="29" spans="1:11" ht="20" customHeight="1" x14ac:dyDescent="0.65">
      <c r="A29" s="69">
        <v>14</v>
      </c>
      <c r="B29" s="61" t="s">
        <v>42</v>
      </c>
      <c r="C29" s="62" t="s">
        <v>16</v>
      </c>
      <c r="D29" s="63" t="s">
        <v>28</v>
      </c>
      <c r="E29" s="64">
        <v>1</v>
      </c>
      <c r="F29" s="62" t="s">
        <v>29</v>
      </c>
      <c r="G29" s="64">
        <v>1</v>
      </c>
      <c r="H29" s="65"/>
      <c r="I29" s="66">
        <v>6106</v>
      </c>
      <c r="J29" s="67" t="s">
        <v>66</v>
      </c>
      <c r="K29" s="68"/>
    </row>
    <row r="30" spans="1:11" ht="20" customHeight="1" x14ac:dyDescent="0.65">
      <c r="A30" s="69"/>
      <c r="B30" s="61"/>
      <c r="C30" s="62"/>
      <c r="D30" s="63"/>
      <c r="E30" s="64"/>
      <c r="F30" s="62"/>
      <c r="G30" s="64"/>
      <c r="H30" s="65"/>
      <c r="I30" s="66"/>
      <c r="J30" s="67"/>
      <c r="K30" s="68"/>
    </row>
    <row r="31" spans="1:11" ht="20" customHeight="1" x14ac:dyDescent="0.65">
      <c r="A31" s="35">
        <v>15</v>
      </c>
      <c r="B31" s="36" t="s">
        <v>43</v>
      </c>
      <c r="C31" s="37" t="s">
        <v>16</v>
      </c>
      <c r="D31" s="38" t="s">
        <v>44</v>
      </c>
      <c r="E31" s="39">
        <v>1</v>
      </c>
      <c r="F31" s="37" t="s">
        <v>44</v>
      </c>
      <c r="G31" s="39">
        <v>1</v>
      </c>
      <c r="H31" s="58"/>
      <c r="I31" s="51">
        <v>14112</v>
      </c>
      <c r="J31" s="55" t="s">
        <v>67</v>
      </c>
      <c r="K31" s="47"/>
    </row>
    <row r="32" spans="1:11" ht="20" customHeight="1" x14ac:dyDescent="0.65">
      <c r="A32" s="35"/>
      <c r="B32" s="36"/>
      <c r="C32" s="37"/>
      <c r="D32" s="38"/>
      <c r="E32" s="39"/>
      <c r="F32" s="37"/>
      <c r="G32" s="39"/>
      <c r="H32" s="58"/>
      <c r="I32" s="51"/>
      <c r="J32" s="55"/>
      <c r="K32" s="47"/>
    </row>
    <row r="33" spans="1:15" ht="20" customHeight="1" x14ac:dyDescent="0.65">
      <c r="A33" s="35">
        <v>16</v>
      </c>
      <c r="B33" s="36" t="s">
        <v>45</v>
      </c>
      <c r="C33" s="37" t="s">
        <v>16</v>
      </c>
      <c r="D33" s="38" t="s">
        <v>46</v>
      </c>
      <c r="E33" s="39">
        <v>1</v>
      </c>
      <c r="F33" s="37" t="s">
        <v>47</v>
      </c>
      <c r="G33" s="39">
        <v>1</v>
      </c>
      <c r="H33" s="58"/>
      <c r="I33" s="51">
        <v>2150</v>
      </c>
      <c r="J33" s="55" t="s">
        <v>68</v>
      </c>
      <c r="K33" s="48" t="s">
        <v>72</v>
      </c>
    </row>
    <row r="34" spans="1:15" ht="20" customHeight="1" x14ac:dyDescent="0.65">
      <c r="A34" s="35"/>
      <c r="B34" s="36"/>
      <c r="C34" s="37"/>
      <c r="D34" s="38"/>
      <c r="E34" s="39"/>
      <c r="F34" s="37"/>
      <c r="G34" s="39"/>
      <c r="H34" s="58"/>
      <c r="I34" s="51"/>
      <c r="J34" s="55"/>
      <c r="K34" s="48"/>
    </row>
    <row r="35" spans="1:15" ht="20" customHeight="1" x14ac:dyDescent="0.65">
      <c r="A35" s="35">
        <v>17</v>
      </c>
      <c r="B35" s="36" t="s">
        <v>48</v>
      </c>
      <c r="C35" s="37" t="s">
        <v>12</v>
      </c>
      <c r="D35" s="38" t="s">
        <v>49</v>
      </c>
      <c r="E35" s="39">
        <v>10</v>
      </c>
      <c r="F35" s="37" t="s">
        <v>50</v>
      </c>
      <c r="G35" s="39">
        <v>1</v>
      </c>
      <c r="H35" s="58"/>
      <c r="I35" s="51">
        <v>3500</v>
      </c>
      <c r="J35" s="55" t="s">
        <v>69</v>
      </c>
      <c r="K35" s="48" t="s">
        <v>72</v>
      </c>
    </row>
    <row r="36" spans="1:15" ht="20" customHeight="1" x14ac:dyDescent="0.65">
      <c r="A36" s="35"/>
      <c r="B36" s="36"/>
      <c r="C36" s="37"/>
      <c r="D36" s="38"/>
      <c r="E36" s="39"/>
      <c r="F36" s="37"/>
      <c r="G36" s="39"/>
      <c r="H36" s="58"/>
      <c r="I36" s="51"/>
      <c r="J36" s="55"/>
      <c r="K36" s="48"/>
    </row>
    <row r="37" spans="1:15" ht="20" customHeight="1" x14ac:dyDescent="0.65">
      <c r="A37" s="35">
        <v>18</v>
      </c>
      <c r="B37" s="36" t="s">
        <v>51</v>
      </c>
      <c r="C37" s="37" t="s">
        <v>16</v>
      </c>
      <c r="D37" s="38" t="s">
        <v>52</v>
      </c>
      <c r="E37" s="39">
        <v>1</v>
      </c>
      <c r="F37" s="37" t="s">
        <v>53</v>
      </c>
      <c r="G37" s="39">
        <v>1</v>
      </c>
      <c r="H37" s="58"/>
      <c r="I37" s="51">
        <v>5250</v>
      </c>
      <c r="J37" s="55" t="s">
        <v>68</v>
      </c>
      <c r="K37" s="47"/>
    </row>
    <row r="38" spans="1:15" ht="20" customHeight="1" x14ac:dyDescent="0.65">
      <c r="A38" s="35"/>
      <c r="B38" s="36"/>
      <c r="C38" s="37"/>
      <c r="D38" s="38"/>
      <c r="E38" s="39"/>
      <c r="F38" s="37"/>
      <c r="G38" s="39"/>
      <c r="H38" s="58"/>
      <c r="I38" s="51"/>
      <c r="J38" s="55"/>
      <c r="K38" s="47"/>
    </row>
    <row r="39" spans="1:15" ht="32" customHeight="1" x14ac:dyDescent="0.65">
      <c r="A39" s="3">
        <v>19</v>
      </c>
      <c r="B39" s="7" t="s">
        <v>54</v>
      </c>
      <c r="C39" s="4" t="s">
        <v>16</v>
      </c>
      <c r="D39" s="5" t="s">
        <v>52</v>
      </c>
      <c r="E39" s="6">
        <v>1</v>
      </c>
      <c r="F39" s="4" t="s">
        <v>55</v>
      </c>
      <c r="G39" s="6">
        <v>1</v>
      </c>
      <c r="H39" s="58"/>
      <c r="I39" s="50">
        <v>5040</v>
      </c>
      <c r="J39" s="54" t="s">
        <v>69</v>
      </c>
      <c r="K39" s="48" t="s">
        <v>72</v>
      </c>
    </row>
    <row r="40" spans="1:15" ht="20" customHeight="1" x14ac:dyDescent="0.7">
      <c r="A40" s="16"/>
      <c r="B40" s="16"/>
      <c r="C40" s="17"/>
      <c r="D40" s="18"/>
      <c r="E40" s="17"/>
      <c r="F40" s="17"/>
      <c r="G40" s="17"/>
      <c r="H40" s="59"/>
      <c r="I40" s="52"/>
      <c r="J40" s="54"/>
      <c r="K40" s="48"/>
    </row>
    <row r="41" spans="1:15" ht="20" customHeight="1" x14ac:dyDescent="0.65">
      <c r="A41" s="25"/>
      <c r="B41" s="25"/>
      <c r="C41" s="27"/>
      <c r="D41" s="29"/>
      <c r="E41" s="27"/>
      <c r="F41" s="27"/>
      <c r="G41" s="31" t="s">
        <v>56</v>
      </c>
      <c r="H41" s="33">
        <f>SUM(H3:H9)</f>
        <v>196326.85</v>
      </c>
      <c r="I41" s="53">
        <f>SUM(I10:I40)</f>
        <v>233986.97</v>
      </c>
      <c r="J41" s="54"/>
      <c r="K41" s="45"/>
    </row>
    <row r="42" spans="1:15" ht="20" customHeight="1" x14ac:dyDescent="0.65">
      <c r="A42" s="26"/>
      <c r="B42" s="26"/>
      <c r="C42" s="28"/>
      <c r="D42" s="30"/>
      <c r="E42" s="28"/>
      <c r="F42" s="28"/>
      <c r="G42" s="32"/>
      <c r="H42" s="34"/>
      <c r="I42" s="70"/>
      <c r="J42" s="54"/>
      <c r="K42" s="56"/>
    </row>
    <row r="43" spans="1:15" x14ac:dyDescent="0.65">
      <c r="I43" s="71">
        <f>I41+H41</f>
        <v>430313.82</v>
      </c>
      <c r="J43" s="21"/>
      <c r="K43" s="41"/>
      <c r="L43" s="21"/>
      <c r="M43" s="21"/>
      <c r="N43" s="21"/>
      <c r="O43" s="21"/>
    </row>
    <row r="44" spans="1:15" x14ac:dyDescent="0.65">
      <c r="K44" s="57"/>
    </row>
    <row r="45" spans="1:15" x14ac:dyDescent="0.65">
      <c r="J45" s="72"/>
    </row>
  </sheetData>
  <mergeCells count="148">
    <mergeCell ref="K29:K30"/>
    <mergeCell ref="K31:K32"/>
    <mergeCell ref="K33:K34"/>
    <mergeCell ref="K35:K36"/>
    <mergeCell ref="K39:K40"/>
    <mergeCell ref="K37:K38"/>
    <mergeCell ref="K15:K16"/>
    <mergeCell ref="K11:K12"/>
    <mergeCell ref="K13:K14"/>
    <mergeCell ref="K17:K18"/>
    <mergeCell ref="K19:K20"/>
    <mergeCell ref="K21:K22"/>
    <mergeCell ref="K23:K24"/>
    <mergeCell ref="K25:K26"/>
    <mergeCell ref="K27:K28"/>
    <mergeCell ref="J29:J30"/>
    <mergeCell ref="J31:J32"/>
    <mergeCell ref="J33:J34"/>
    <mergeCell ref="J35:J36"/>
    <mergeCell ref="J37:J38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A11:A12"/>
    <mergeCell ref="B11:B12"/>
    <mergeCell ref="C11:C12"/>
    <mergeCell ref="D11:D12"/>
    <mergeCell ref="E11:E12"/>
    <mergeCell ref="F11:F12"/>
    <mergeCell ref="A13:A14"/>
    <mergeCell ref="B13:B14"/>
    <mergeCell ref="C13:C14"/>
    <mergeCell ref="D13:D14"/>
    <mergeCell ref="E13:E14"/>
    <mergeCell ref="F13:F14"/>
    <mergeCell ref="G13:G14"/>
    <mergeCell ref="I13:I14"/>
    <mergeCell ref="A15:A16"/>
    <mergeCell ref="B15:B16"/>
    <mergeCell ref="C15:C16"/>
    <mergeCell ref="D15:D16"/>
    <mergeCell ref="E15:E16"/>
    <mergeCell ref="F15:F16"/>
    <mergeCell ref="G15:G16"/>
    <mergeCell ref="I15:I16"/>
    <mergeCell ref="A17:A18"/>
    <mergeCell ref="B17:B18"/>
    <mergeCell ref="C17:C18"/>
    <mergeCell ref="D17:D18"/>
    <mergeCell ref="E17:E18"/>
    <mergeCell ref="F17:F18"/>
    <mergeCell ref="G17:G18"/>
    <mergeCell ref="I17:I18"/>
    <mergeCell ref="A19:A20"/>
    <mergeCell ref="B19:B20"/>
    <mergeCell ref="C19:C20"/>
    <mergeCell ref="D19:D20"/>
    <mergeCell ref="E19:E20"/>
    <mergeCell ref="F19:F20"/>
    <mergeCell ref="G19:G20"/>
    <mergeCell ref="I19:I20"/>
    <mergeCell ref="A21:A22"/>
    <mergeCell ref="B21:B22"/>
    <mergeCell ref="C21:C22"/>
    <mergeCell ref="D21:D22"/>
    <mergeCell ref="E21:E22"/>
    <mergeCell ref="F21:F22"/>
    <mergeCell ref="G21:G22"/>
    <mergeCell ref="I21:I22"/>
    <mergeCell ref="A23:A24"/>
    <mergeCell ref="B23:B24"/>
    <mergeCell ref="C23:C24"/>
    <mergeCell ref="D23:D24"/>
    <mergeCell ref="E23:E24"/>
    <mergeCell ref="F23:F24"/>
    <mergeCell ref="G23:G24"/>
    <mergeCell ref="I23:I24"/>
    <mergeCell ref="A25:A26"/>
    <mergeCell ref="B25:B26"/>
    <mergeCell ref="C25:C26"/>
    <mergeCell ref="D25:D26"/>
    <mergeCell ref="E25:E26"/>
    <mergeCell ref="F25:F26"/>
    <mergeCell ref="G25:G26"/>
    <mergeCell ref="I25:I26"/>
    <mergeCell ref="A27:A28"/>
    <mergeCell ref="B27:B28"/>
    <mergeCell ref="C27:C28"/>
    <mergeCell ref="D27:D28"/>
    <mergeCell ref="E27:E28"/>
    <mergeCell ref="F27:F28"/>
    <mergeCell ref="G27:G28"/>
    <mergeCell ref="I27:I28"/>
    <mergeCell ref="A29:A30"/>
    <mergeCell ref="B29:B30"/>
    <mergeCell ref="C29:C30"/>
    <mergeCell ref="D29:D30"/>
    <mergeCell ref="E29:E30"/>
    <mergeCell ref="F29:F30"/>
    <mergeCell ref="G29:G30"/>
    <mergeCell ref="I29:I30"/>
    <mergeCell ref="A31:A32"/>
    <mergeCell ref="B31:B32"/>
    <mergeCell ref="C31:C32"/>
    <mergeCell ref="D31:D32"/>
    <mergeCell ref="E31:E32"/>
    <mergeCell ref="F31:F32"/>
    <mergeCell ref="G31:G32"/>
    <mergeCell ref="I31:I32"/>
    <mergeCell ref="A33:A34"/>
    <mergeCell ref="B33:B34"/>
    <mergeCell ref="C33:C34"/>
    <mergeCell ref="D33:D34"/>
    <mergeCell ref="E33:E34"/>
    <mergeCell ref="F33:F34"/>
    <mergeCell ref="G33:G34"/>
    <mergeCell ref="I33:I34"/>
    <mergeCell ref="A35:A36"/>
    <mergeCell ref="B35:B36"/>
    <mergeCell ref="C35:C36"/>
    <mergeCell ref="D35:D36"/>
    <mergeCell ref="E35:E36"/>
    <mergeCell ref="F35:F36"/>
    <mergeCell ref="G35:G36"/>
    <mergeCell ref="I35:I36"/>
    <mergeCell ref="A37:A38"/>
    <mergeCell ref="B37:B38"/>
    <mergeCell ref="C37:C38"/>
    <mergeCell ref="D37:D38"/>
    <mergeCell ref="E37:E38"/>
    <mergeCell ref="F37:F38"/>
    <mergeCell ref="G37:G38"/>
    <mergeCell ref="I37:I38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</mergeCells>
  <pageMargins left="0.70866141732283472" right="0.70866141732283472" top="0.74803149606299213" bottom="0.74803149606299213" header="0.31496062992125984" footer="0.31496062992125984"/>
  <pageSetup paperSize="8" scale="74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 Murphy</dc:creator>
  <cp:lastModifiedBy>Scott Ripley</cp:lastModifiedBy>
  <cp:lastPrinted>2023-03-15T13:56:44Z</cp:lastPrinted>
  <dcterms:created xsi:type="dcterms:W3CDTF">2023-03-08T08:44:21Z</dcterms:created>
  <dcterms:modified xsi:type="dcterms:W3CDTF">2023-03-15T13:57:25Z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2023-03-08T00:00:00Z</vt:filetime>
  </property>
  <property fmtid="{D5CDD505-2E9C-101B-9397-08002B2CF9AE}" pid="3" name="Creator">
    <vt:lpwstr>Adobe Acrobat Pro DC (32-bit) 21.5.20060</vt:lpwstr>
  </property>
  <property fmtid="{D5CDD505-2E9C-101B-9397-08002B2CF9AE}" pid="4" name="LastSaved">
    <vt:filetime>2023-03-08T00:00:00Z</vt:filetime>
  </property>
  <property fmtid="{D5CDD505-2E9C-101B-9397-08002B2CF9AE}" pid="5" name="Producer">
    <vt:lpwstr>Adobe Acrobat Pro DC (32-bit) 21.5.20060</vt:lpwstr>
  </property>
</Properties>
</file>