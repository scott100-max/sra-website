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6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scott\Dropbox\Work Files\Project Files\2020 House\Final Statement\"/>
    </mc:Choice>
  </mc:AlternateContent>
  <xr:revisionPtr revIDLastSave="0" documentId="13_ncr:1_{737A1F10-671B-41BD-9737-FA29D3DCF552}" xr6:coauthVersionLast="47" xr6:coauthVersionMax="47" xr10:uidLastSave="{00000000-0000-0000-0000-000000000000}"/>
  <bookViews>
    <workbookView xWindow="-28920" yWindow="8490" windowWidth="29040" windowHeight="15720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Print_Area" localSheetId="0">Sheet1!$B$1:$H$55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1" i="1" l="1"/>
  <c r="G30" i="1"/>
  <c r="E33" i="1" l="1"/>
  <c r="G35" i="1" l="1"/>
  <c r="G40" i="1" s="1"/>
</calcChain>
</file>

<file path=xl/sharedStrings.xml><?xml version="1.0" encoding="utf-8"?>
<sst xmlns="http://schemas.openxmlformats.org/spreadsheetml/2006/main" count="35" uniqueCount="30">
  <si>
    <t xml:space="preserve">     </t>
  </si>
  <si>
    <t xml:space="preserve">         </t>
  </si>
  <si>
    <t>Contractor:</t>
  </si>
  <si>
    <t>Signed:</t>
  </si>
  <si>
    <t>Address:</t>
  </si>
  <si>
    <t>sub total</t>
  </si>
  <si>
    <t>Employer</t>
  </si>
  <si>
    <t>Issued By:</t>
  </si>
  <si>
    <t>Issue Date:</t>
  </si>
  <si>
    <t>Job Reference:</t>
  </si>
  <si>
    <t>We hereby confirm that the final account for the above works as follows:</t>
  </si>
  <si>
    <r>
      <t>Less</t>
    </r>
    <r>
      <rPr>
        <sz val="11"/>
        <color theme="1"/>
        <rFont val="Calibri"/>
        <family val="2"/>
        <scheme val="minor"/>
      </rPr>
      <t>:  Amount certified to date</t>
    </r>
  </si>
  <si>
    <t>………………………………………………………………………</t>
  </si>
  <si>
    <t>Works:</t>
  </si>
  <si>
    <t>STATEMENT OF FINAL ACCOUNT</t>
  </si>
  <si>
    <t xml:space="preserve">2020 House, Skinner Lane, Leeds </t>
  </si>
  <si>
    <t>Castles Special Projects LLP</t>
  </si>
  <si>
    <t>46 Broadway, Swinton, Mexborough, South Yorkshire, S64 8HF</t>
  </si>
  <si>
    <t>Cladding remedial works to 2020 House (phase 2 non-ACM Cladding)</t>
  </si>
  <si>
    <t xml:space="preserve">Adjustments to the contract sum </t>
  </si>
  <si>
    <t>[1] Provisional Sums</t>
  </si>
  <si>
    <t>[2] Variations</t>
  </si>
  <si>
    <t>Uncertified Balance excluding Retention Currently Held (£22,565.69)</t>
  </si>
  <si>
    <t>(                                                                                                            )  for and on behalf of 2020 House (Residential Management) Ltd</t>
  </si>
  <si>
    <t>(                                                                                                            )  for and on behalf of Castles Special Projects LLP</t>
  </si>
  <si>
    <t>20:20 House (Residential Management) Limted</t>
  </si>
  <si>
    <t>20:20 House, Skinner Lane, Leeds, LS7 1BB</t>
  </si>
  <si>
    <t xml:space="preserve">This Statement of Final Account in the sum of £1,504,379.24 (One Million Five Hundred and Four Thousand, Three Hundred and Seventy Nine Pounds and Twenty Four Pence) + VAT is agreed for all works as full and final settlement in connection with the building contract – subject to any withholding notices the Employer may issue in respect of Liquidated and Ascertained Damages which can be properly levied under the Contract.
</t>
  </si>
  <si>
    <t xml:space="preserve">Contract Sum </t>
  </si>
  <si>
    <t>Final Account (Excluding VAT)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</si>
</sst>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8" formatCode="&quot;£&quot;#,##0.00;[Red]\-&quot;£&quot;#,##0.00"/>
    <numFmt numFmtId="164" formatCode="[$-F800]dddd\,\ mmmm\ dd\,\ yyyy"/>
    <numFmt numFmtId="165" formatCode="&quot;£&quot;#,##0.00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color rgb="FF20201F"/>
      <name val="Verdana"/>
      <family val="2"/>
    </font>
    <font>
      <b/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left" vertical="center"/>
    </xf>
    <xf numFmtId="8" fontId="0" fillId="0" borderId="0" xfId="0" applyNumberFormat="1" applyAlignment="1">
      <alignment vertical="center"/>
    </xf>
    <xf numFmtId="164" fontId="0" fillId="0" borderId="0" xfId="0" applyNumberFormat="1" applyAlignment="1">
      <alignment horizontal="left" vertical="center"/>
    </xf>
    <xf numFmtId="165" fontId="1" fillId="0" borderId="2" xfId="0" applyNumberFormat="1" applyFont="1" applyBorder="1"/>
    <xf numFmtId="165" fontId="1" fillId="0" borderId="3" xfId="0" applyNumberFormat="1" applyFont="1" applyBorder="1" applyAlignment="1">
      <alignment vertical="center"/>
    </xf>
    <xf numFmtId="0" fontId="0" fillId="0" borderId="0" xfId="0" applyAlignment="1">
      <alignment horizontal="right"/>
    </xf>
    <xf numFmtId="0" fontId="0" fillId="0" borderId="0" xfId="0" applyAlignment="1">
      <alignment wrapText="1"/>
    </xf>
    <xf numFmtId="0" fontId="1" fillId="0" borderId="0" xfId="0" applyFont="1" applyAlignment="1">
      <alignment horizontal="left" vertical="top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/>
    </xf>
    <xf numFmtId="0" fontId="0" fillId="0" borderId="0" xfId="0" applyAlignment="1">
      <alignment vertical="center" wrapText="1"/>
    </xf>
    <xf numFmtId="0" fontId="0" fillId="0" borderId="0" xfId="0" applyAlignment="1">
      <alignment horizontal="left" vertical="center" indent="1"/>
    </xf>
    <xf numFmtId="165" fontId="1" fillId="0" borderId="0" xfId="0" applyNumberFormat="1" applyFont="1" applyAlignment="1">
      <alignment vertical="center"/>
    </xf>
    <xf numFmtId="0" fontId="2" fillId="0" borderId="0" xfId="0" applyFont="1"/>
    <xf numFmtId="0" fontId="2" fillId="0" borderId="0" xfId="0" applyFont="1" applyAlignment="1">
      <alignment vertical="center"/>
    </xf>
    <xf numFmtId="165" fontId="0" fillId="2" borderId="0" xfId="0" applyNumberFormat="1" applyFill="1" applyAlignment="1">
      <alignment vertical="center"/>
    </xf>
    <xf numFmtId="165" fontId="0" fillId="0" borderId="0" xfId="0" applyNumberFormat="1"/>
    <xf numFmtId="165" fontId="0" fillId="0" borderId="0" xfId="0" applyNumberFormat="1" applyAlignment="1">
      <alignment vertical="center"/>
    </xf>
    <xf numFmtId="165" fontId="0" fillId="0" borderId="1" xfId="0" applyNumberFormat="1" applyBorder="1" applyAlignment="1">
      <alignment vertical="center"/>
    </xf>
    <xf numFmtId="165" fontId="0" fillId="0" borderId="0" xfId="0" applyNumberFormat="1" applyAlignment="1">
      <alignment horizontal="center"/>
    </xf>
    <xf numFmtId="0" fontId="1" fillId="0" borderId="0" xfId="0" applyFont="1" applyAlignment="1">
      <alignment horizontal="left"/>
    </xf>
    <xf numFmtId="0" fontId="4" fillId="0" borderId="0" xfId="0" applyFont="1" applyAlignment="1">
      <alignment vertical="center"/>
    </xf>
    <xf numFmtId="0" fontId="3" fillId="0" borderId="0" xfId="0" applyFont="1" applyAlignment="1">
      <alignment vertical="top" wrapText="1"/>
    </xf>
    <xf numFmtId="0" fontId="5" fillId="0" borderId="0" xfId="0" applyFont="1" applyAlignment="1">
      <alignment horizontal="left"/>
    </xf>
    <xf numFmtId="0" fontId="3" fillId="0" borderId="0" xfId="0" applyFont="1" applyAlignment="1">
      <alignment horizontal="left" vertical="top" wrapText="1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54264</xdr:colOff>
      <xdr:row>1</xdr:row>
      <xdr:rowOff>71582</xdr:rowOff>
    </xdr:from>
    <xdr:to>
      <xdr:col>6</xdr:col>
      <xdr:colOff>1511589</xdr:colOff>
      <xdr:row>3</xdr:row>
      <xdr:rowOff>60037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46661E5-488C-0BEB-6BCE-08FA49D010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87128" y="262082"/>
          <a:ext cx="1457325" cy="3694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B5:M69"/>
  <sheetViews>
    <sheetView tabSelected="1" topLeftCell="A22" zoomScale="110" zoomScaleNormal="110" zoomScaleSheetLayoutView="100" zoomScalePageLayoutView="85" workbookViewId="0">
      <selection activeCell="I28" sqref="I28"/>
    </sheetView>
  </sheetViews>
  <sheetFormatPr defaultColWidth="9.08984375" defaultRowHeight="14.75" x14ac:dyDescent="0.75"/>
  <cols>
    <col min="2" max="2" width="14.453125" style="12" customWidth="1"/>
    <col min="3" max="3" width="31.6328125" customWidth="1"/>
    <col min="4" max="4" width="10.08984375" bestFit="1" customWidth="1"/>
    <col min="5" max="5" width="21.6328125" customWidth="1"/>
    <col min="6" max="6" width="7.90625" customWidth="1"/>
    <col min="7" max="7" width="21.6328125" customWidth="1"/>
    <col min="8" max="8" width="7.90625" customWidth="1"/>
    <col min="9" max="9" width="16" customWidth="1"/>
  </cols>
  <sheetData>
    <row r="5" spans="2:13" ht="18.5" x14ac:dyDescent="0.9">
      <c r="B5" s="26" t="s">
        <v>14</v>
      </c>
    </row>
    <row r="7" spans="2:13" x14ac:dyDescent="0.75">
      <c r="B7" s="3" t="s">
        <v>9</v>
      </c>
      <c r="C7" s="11" t="s">
        <v>15</v>
      </c>
      <c r="D7" s="2"/>
      <c r="E7" s="2"/>
      <c r="F7" s="2"/>
      <c r="G7" s="2"/>
      <c r="H7" s="2"/>
      <c r="I7" s="2"/>
      <c r="J7" s="2"/>
      <c r="K7" s="2"/>
      <c r="L7" s="2"/>
      <c r="M7" s="2"/>
    </row>
    <row r="8" spans="2:13" x14ac:dyDescent="0.75">
      <c r="B8" s="3"/>
      <c r="C8" s="11"/>
      <c r="D8" s="2"/>
      <c r="E8" s="2"/>
      <c r="F8" s="2"/>
      <c r="G8" s="2"/>
      <c r="H8" s="2"/>
      <c r="I8" s="2"/>
      <c r="J8" s="2"/>
      <c r="K8" s="2"/>
      <c r="L8" s="2"/>
      <c r="M8" s="2"/>
    </row>
    <row r="9" spans="2:13" x14ac:dyDescent="0.75">
      <c r="B9" s="3"/>
    </row>
    <row r="10" spans="2:13" x14ac:dyDescent="0.75">
      <c r="B10" s="3" t="s">
        <v>8</v>
      </c>
      <c r="C10" s="5">
        <v>44824</v>
      </c>
      <c r="D10" s="2"/>
      <c r="E10" s="2"/>
      <c r="F10" s="2"/>
      <c r="G10" s="2"/>
      <c r="H10" s="2"/>
      <c r="I10" s="2"/>
      <c r="J10" s="2"/>
      <c r="K10" s="2"/>
      <c r="L10" s="2"/>
      <c r="M10" s="2"/>
    </row>
    <row r="11" spans="2:13" x14ac:dyDescent="0.75">
      <c r="B11" s="3"/>
      <c r="C11" s="5"/>
      <c r="D11" s="2"/>
      <c r="E11" s="2"/>
      <c r="F11" s="2"/>
      <c r="G11" s="2"/>
      <c r="H11" s="2"/>
      <c r="I11" s="2"/>
      <c r="J11" s="2"/>
      <c r="K11" s="2"/>
      <c r="L11" s="2"/>
      <c r="M11" s="2"/>
    </row>
    <row r="12" spans="2:13" x14ac:dyDescent="0.75">
      <c r="B12" s="3"/>
    </row>
    <row r="13" spans="2:13" x14ac:dyDescent="0.75">
      <c r="B13" s="3" t="s">
        <v>7</v>
      </c>
      <c r="C13" s="1" t="s">
        <v>16</v>
      </c>
      <c r="D13" s="2"/>
      <c r="E13" s="2"/>
      <c r="F13" s="2"/>
      <c r="G13" s="2"/>
      <c r="H13" s="2"/>
      <c r="I13" s="2"/>
      <c r="J13" s="2"/>
      <c r="K13" s="2"/>
      <c r="L13" s="2"/>
      <c r="M13" s="2"/>
    </row>
    <row r="14" spans="2:13" ht="29.5" x14ac:dyDescent="0.75">
      <c r="B14" s="10" t="s">
        <v>4</v>
      </c>
      <c r="C14" s="9" t="s">
        <v>17</v>
      </c>
    </row>
    <row r="15" spans="2:13" x14ac:dyDescent="0.75">
      <c r="B15" s="10"/>
      <c r="C15" s="9"/>
    </row>
    <row r="16" spans="2:13" x14ac:dyDescent="0.75">
      <c r="B16" s="3"/>
      <c r="C16" s="1"/>
      <c r="D16" s="2"/>
      <c r="E16" s="2"/>
      <c r="F16" s="2"/>
      <c r="G16" s="2"/>
      <c r="H16" s="2"/>
      <c r="I16" s="2"/>
      <c r="J16" s="2"/>
      <c r="K16" s="2"/>
      <c r="L16" s="2"/>
      <c r="M16" s="2"/>
    </row>
    <row r="17" spans="2:13" x14ac:dyDescent="0.75">
      <c r="B17" s="3" t="s">
        <v>6</v>
      </c>
      <c r="C17" t="s">
        <v>25</v>
      </c>
    </row>
    <row r="18" spans="2:13" ht="29.5" x14ac:dyDescent="0.75">
      <c r="B18" s="10" t="s">
        <v>4</v>
      </c>
      <c r="C18" s="13" t="s">
        <v>26</v>
      </c>
      <c r="D18" s="2"/>
      <c r="E18" s="24"/>
      <c r="F18" s="2"/>
      <c r="G18" s="2"/>
      <c r="H18" s="2"/>
      <c r="I18" s="2"/>
      <c r="J18" s="2"/>
      <c r="K18" s="2"/>
      <c r="L18" s="2"/>
      <c r="M18" s="2"/>
    </row>
    <row r="19" spans="2:13" x14ac:dyDescent="0.75">
      <c r="B19" s="10"/>
      <c r="C19" s="13"/>
      <c r="D19" s="2"/>
      <c r="E19" s="24"/>
      <c r="F19" s="2"/>
      <c r="G19" s="2"/>
      <c r="H19" s="2"/>
      <c r="I19" s="2"/>
      <c r="J19" s="2"/>
      <c r="K19" s="2"/>
      <c r="L19" s="2"/>
      <c r="M19" s="2"/>
    </row>
    <row r="20" spans="2:13" x14ac:dyDescent="0.75">
      <c r="B20" s="3"/>
      <c r="E20" s="24"/>
    </row>
    <row r="21" spans="2:13" x14ac:dyDescent="0.75">
      <c r="B21" s="3" t="s">
        <v>2</v>
      </c>
      <c r="C21" s="1" t="s">
        <v>16</v>
      </c>
      <c r="D21" s="2"/>
      <c r="E21" s="24"/>
      <c r="F21" s="2"/>
      <c r="G21" s="2"/>
      <c r="H21" s="2"/>
      <c r="I21" s="2"/>
      <c r="J21" s="2"/>
      <c r="K21" s="2"/>
      <c r="L21" s="2"/>
      <c r="M21" s="2"/>
    </row>
    <row r="22" spans="2:13" ht="29.5" x14ac:dyDescent="0.75">
      <c r="B22" s="10" t="s">
        <v>4</v>
      </c>
      <c r="C22" s="9" t="s">
        <v>17</v>
      </c>
      <c r="E22" s="24"/>
    </row>
    <row r="23" spans="2:13" x14ac:dyDescent="0.75">
      <c r="B23" s="11"/>
    </row>
    <row r="24" spans="2:13" x14ac:dyDescent="0.75">
      <c r="B24" s="3" t="s">
        <v>13</v>
      </c>
      <c r="C24" t="s">
        <v>18</v>
      </c>
    </row>
    <row r="25" spans="2:13" x14ac:dyDescent="0.75">
      <c r="B25" s="3"/>
    </row>
    <row r="26" spans="2:13" x14ac:dyDescent="0.75">
      <c r="B26" s="14" t="s">
        <v>10</v>
      </c>
    </row>
    <row r="27" spans="2:13" x14ac:dyDescent="0.75">
      <c r="B27" s="3"/>
      <c r="G27" s="22"/>
    </row>
    <row r="28" spans="2:13" x14ac:dyDescent="0.75">
      <c r="C28" s="1" t="s">
        <v>28</v>
      </c>
      <c r="G28" s="20">
        <v>1504380.01</v>
      </c>
      <c r="M28" s="1"/>
    </row>
    <row r="29" spans="2:13" x14ac:dyDescent="0.75">
      <c r="B29" s="11"/>
      <c r="G29" s="19"/>
    </row>
    <row r="30" spans="2:13" x14ac:dyDescent="0.75">
      <c r="B30" s="11"/>
      <c r="C30" t="s">
        <v>19</v>
      </c>
      <c r="F30" s="8"/>
      <c r="G30" s="20">
        <f>1504379.24-1504380.01</f>
        <v>-0.77000000001862645</v>
      </c>
      <c r="I30" s="4"/>
    </row>
    <row r="31" spans="2:13" x14ac:dyDescent="0.75">
      <c r="C31" s="16" t="s">
        <v>20</v>
      </c>
      <c r="E31" s="20">
        <f>6337.13-132500</f>
        <v>-126162.87</v>
      </c>
      <c r="G31" s="19"/>
      <c r="L31" s="1"/>
    </row>
    <row r="32" spans="2:13" x14ac:dyDescent="0.75">
      <c r="C32" s="17" t="s">
        <v>21</v>
      </c>
      <c r="E32" s="20">
        <v>126162.1</v>
      </c>
      <c r="G32" s="19"/>
      <c r="L32" s="1"/>
    </row>
    <row r="33" spans="2:12" x14ac:dyDescent="0.75">
      <c r="C33" s="17"/>
      <c r="D33" t="s">
        <v>5</v>
      </c>
      <c r="E33" s="21">
        <f>SUM(E31:E32)</f>
        <v>-0.76999999998952262</v>
      </c>
      <c r="G33" s="15"/>
      <c r="L33" s="1"/>
    </row>
    <row r="34" spans="2:12" x14ac:dyDescent="0.75">
      <c r="C34" s="17"/>
      <c r="G34" s="15"/>
      <c r="L34" s="1"/>
    </row>
    <row r="35" spans="2:12" x14ac:dyDescent="0.75">
      <c r="C35" s="17"/>
      <c r="E35" s="28" t="s">
        <v>29</v>
      </c>
      <c r="G35" s="7">
        <f>G28+G30</f>
        <v>1504379.24</v>
      </c>
      <c r="L35" s="1"/>
    </row>
    <row r="36" spans="2:12" x14ac:dyDescent="0.75">
      <c r="B36" s="11"/>
      <c r="G36" s="19"/>
    </row>
    <row r="37" spans="2:12" x14ac:dyDescent="0.75">
      <c r="C37" s="1" t="s">
        <v>11</v>
      </c>
      <c r="G37" s="18">
        <v>1504379.24</v>
      </c>
    </row>
    <row r="38" spans="2:12" x14ac:dyDescent="0.75">
      <c r="B38" s="11"/>
      <c r="C38" s="1"/>
      <c r="G38" s="20" t="s">
        <v>0</v>
      </c>
    </row>
    <row r="39" spans="2:12" x14ac:dyDescent="0.75">
      <c r="G39" s="19"/>
    </row>
    <row r="40" spans="2:12" x14ac:dyDescent="0.75">
      <c r="C40" s="2" t="s">
        <v>22</v>
      </c>
      <c r="G40" s="6">
        <f>G35-G37</f>
        <v>0</v>
      </c>
    </row>
    <row r="41" spans="2:12" x14ac:dyDescent="0.75">
      <c r="L41" s="1"/>
    </row>
    <row r="42" spans="2:12" x14ac:dyDescent="0.75">
      <c r="B42" s="23" t="s">
        <v>3</v>
      </c>
      <c r="L42" s="1"/>
    </row>
    <row r="43" spans="2:12" x14ac:dyDescent="0.75">
      <c r="B43" s="12" t="s">
        <v>23</v>
      </c>
      <c r="L43" s="1"/>
    </row>
    <row r="44" spans="2:12" x14ac:dyDescent="0.75">
      <c r="L44" s="1"/>
    </row>
    <row r="45" spans="2:12" x14ac:dyDescent="0.75">
      <c r="L45" s="1"/>
    </row>
    <row r="46" spans="2:12" x14ac:dyDescent="0.75">
      <c r="B46" s="12" t="s">
        <v>12</v>
      </c>
      <c r="L46" s="1"/>
    </row>
    <row r="47" spans="2:12" x14ac:dyDescent="0.75">
      <c r="L47" s="1"/>
    </row>
    <row r="48" spans="2:12" x14ac:dyDescent="0.75">
      <c r="B48" s="12" t="s">
        <v>24</v>
      </c>
      <c r="L48" s="1"/>
    </row>
    <row r="49" spans="2:12" x14ac:dyDescent="0.75">
      <c r="L49" s="1"/>
    </row>
    <row r="50" spans="2:12" x14ac:dyDescent="0.75">
      <c r="L50" s="1"/>
    </row>
    <row r="51" spans="2:12" x14ac:dyDescent="0.75">
      <c r="B51" s="12" t="s">
        <v>12</v>
      </c>
      <c r="L51" s="1"/>
    </row>
    <row r="52" spans="2:12" x14ac:dyDescent="0.75">
      <c r="L52" s="1"/>
    </row>
    <row r="53" spans="2:12" ht="25.5" customHeight="1" x14ac:dyDescent="0.75">
      <c r="B53" s="27" t="s">
        <v>27</v>
      </c>
      <c r="C53" s="27"/>
      <c r="D53" s="27"/>
      <c r="E53" s="27"/>
      <c r="F53" s="27"/>
      <c r="G53" s="27"/>
      <c r="H53" s="27"/>
      <c r="L53" s="1"/>
    </row>
    <row r="54" spans="2:12" ht="41.25" customHeight="1" x14ac:dyDescent="0.75">
      <c r="B54" s="27"/>
      <c r="C54" s="27"/>
      <c r="D54" s="27"/>
      <c r="E54" s="27"/>
      <c r="F54" s="27"/>
      <c r="G54" s="27"/>
      <c r="H54" s="27"/>
      <c r="L54" s="1"/>
    </row>
    <row r="55" spans="2:12" ht="25.5" customHeight="1" x14ac:dyDescent="0.75">
      <c r="B55" s="25"/>
      <c r="C55" s="25"/>
      <c r="D55" s="25"/>
      <c r="E55" s="25"/>
      <c r="F55" s="25"/>
      <c r="G55" s="25"/>
      <c r="H55" s="25"/>
      <c r="L55" s="1"/>
    </row>
    <row r="56" spans="2:12" x14ac:dyDescent="0.75">
      <c r="B56"/>
    </row>
    <row r="57" spans="2:12" x14ac:dyDescent="0.75">
      <c r="B57"/>
    </row>
    <row r="58" spans="2:12" x14ac:dyDescent="0.75">
      <c r="B58"/>
    </row>
    <row r="59" spans="2:12" x14ac:dyDescent="0.75">
      <c r="B59"/>
    </row>
    <row r="60" spans="2:12" x14ac:dyDescent="0.75">
      <c r="B60"/>
    </row>
    <row r="61" spans="2:12" x14ac:dyDescent="0.75">
      <c r="B61"/>
    </row>
    <row r="62" spans="2:12" x14ac:dyDescent="0.75">
      <c r="B62"/>
    </row>
    <row r="63" spans="2:12" x14ac:dyDescent="0.75">
      <c r="B63"/>
    </row>
    <row r="64" spans="2:12" x14ac:dyDescent="0.75">
      <c r="B64" s="1"/>
    </row>
    <row r="65" spans="2:2" x14ac:dyDescent="0.75">
      <c r="B65"/>
    </row>
    <row r="66" spans="2:2" x14ac:dyDescent="0.75">
      <c r="B66"/>
    </row>
    <row r="67" spans="2:2" x14ac:dyDescent="0.75">
      <c r="B67"/>
    </row>
    <row r="68" spans="2:2" x14ac:dyDescent="0.75">
      <c r="B68" s="1" t="s">
        <v>1</v>
      </c>
    </row>
    <row r="69" spans="2:2" ht="21" customHeight="1" x14ac:dyDescent="0.75">
      <c r="B69"/>
    </row>
  </sheetData>
  <mergeCells count="1">
    <mergeCell ref="B53:H54"/>
  </mergeCells>
  <pageMargins left="0.70866141732283472" right="0.70866141732283472" top="0.82677165354330717" bottom="0.74803149606299213" header="0.31496062992125984" footer="0.31496062992125984"/>
  <pageSetup paperSize="9" scale="75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"/>
  <sheetViews>
    <sheetView workbookViewId="0"/>
  </sheetViews>
  <sheetFormatPr defaultRowHeight="14.75" x14ac:dyDescent="0.7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"/>
  <sheetViews>
    <sheetView workbookViewId="0"/>
  </sheetViews>
  <sheetFormatPr defaultRowHeight="14.75" x14ac:dyDescent="0.7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Sheet1!Print_Area</vt:lpstr>
    </vt:vector>
  </TitlesOfParts>
  <Company>Sweett Group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Machekanyanga, Ben</dc:creator>
  <cp:lastModifiedBy>Scott Ripley</cp:lastModifiedBy>
  <cp:lastPrinted>2022-10-18T10:48:37Z</cp:lastPrinted>
  <dcterms:created xsi:type="dcterms:W3CDTF">2015-04-14T10:08:21Z</dcterms:created>
  <dcterms:modified xsi:type="dcterms:W3CDTF">2022-10-18T10:48:54Z</dcterms:modified>
</cp:coreProperties>
</file>