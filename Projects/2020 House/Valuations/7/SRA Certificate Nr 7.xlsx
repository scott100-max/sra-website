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427"/>
  <workbookPr defaultThemeVersion="124226"/>
  <mc:AlternateContent xmlns:mc="http://schemas.openxmlformats.org/markup-compatibility/2006">
    <mc:Choice Requires="x15">
      <x15ac:absPath xmlns:x15ac="http://schemas.microsoft.com/office/spreadsheetml/2010/11/ac" url="C:\Users\scott\Dropbox\Work Files\Project Files\2020 House\Valuations\7\"/>
    </mc:Choice>
  </mc:AlternateContent>
  <xr:revisionPtr revIDLastSave="0" documentId="13_ncr:1_{C7A5D24B-C0EB-4818-9E63-2ABB63D70DDA}" xr6:coauthVersionLast="47" xr6:coauthVersionMax="47" xr10:uidLastSave="{00000000-0000-0000-0000-000000000000}"/>
  <bookViews>
    <workbookView xWindow="-28920" yWindow="8490" windowWidth="29040" windowHeight="15720" xr2:uid="{00000000-000D-0000-FFFF-FFFF00000000}"/>
  </bookViews>
  <sheets>
    <sheet name="Cover" sheetId="11" r:id="rId1"/>
    <sheet name="Valuation Cert" sheetId="1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s>
  <definedNames>
    <definedName name="_add1">'[1]BASIC INFO'!$B$68</definedName>
    <definedName name="_add2">'[1]BASIC INFO'!$B$69</definedName>
    <definedName name="_add3">'[1]BASIC INFO'!$B$70</definedName>
    <definedName name="_add4">'[1]BASIC INFO'!$B$71</definedName>
    <definedName name="_add5">'[1]BASIC INFO'!$B$72</definedName>
    <definedName name="_sam1">'[2]BASIC INFO'!$B$59</definedName>
    <definedName name="_sam2">'[2]BASIC INFO'!$B$59</definedName>
    <definedName name="_ta1">'[1]BASIC INFO'!$B$59</definedName>
    <definedName name="_ta2">'[1]BASIC INFO'!$B$60</definedName>
    <definedName name="_ta3">'[1]BASIC INFO'!$B$61</definedName>
    <definedName name="_ta4">'[1]BASIC INFO'!$B$62</definedName>
    <definedName name="_ta5">'[1]BASIC INFO'!$B$63</definedName>
    <definedName name="_ta6">'[1]BASIC INFO'!$B$64</definedName>
    <definedName name="_ta7">'[1]BASIC INFO'!$B$65</definedName>
    <definedName name="Accommodation">#REF!</definedName>
    <definedName name="ADDRESS1">'[3]MASTER DATA SHEET'!$B$4</definedName>
    <definedName name="ADDRESS2">'[3]MASTER DATA SHEET'!$B$5</definedName>
    <definedName name="addresses" localSheetId="0">#REF!</definedName>
    <definedName name="addresses">#REF!</definedName>
    <definedName name="agqca\c">[0]!agqca\c</definedName>
    <definedName name="Area">#REF!</definedName>
    <definedName name="Area2">#REF!</definedName>
    <definedName name="avdrtndn"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back">[1]areas!$N$10</definedName>
    <definedName name="bar">[1]areas!$F$10</definedName>
    <definedName name="BBB">#REF!</definedName>
    <definedName name="BBBB">#REF!</definedName>
    <definedName name="bn" hidden="1">{#N/A,#N/A,FALSE,"Summary information";#N/A,#N/A,FALSE,"BLANK"}</definedName>
    <definedName name="BTPOperatingRegion">#REF!</definedName>
    <definedName name="BWIC">'[3]MASTER DATA SHEET'!$B$21</definedName>
    <definedName name="c\asc\">[0]!c\asc\</definedName>
    <definedName name="C_">#REF!</definedName>
    <definedName name="cacaa\e">[0]!cacaa\e</definedName>
    <definedName name="cAcva">[0]!cAcva</definedName>
    <definedName name="catgghm">[0]!catgghm</definedName>
    <definedName name="cawccawe">[0]!cawccawe</definedName>
    <definedName name="cawcg"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cbrev"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cccccccccccc"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cfa">#REF!</definedName>
    <definedName name="client">'[1]BASIC INFO'!$B$5</definedName>
    <definedName name="comms">#REF!</definedName>
    <definedName name="COMPANY">'[3]MASTER DATA SHEET'!$B$3</definedName>
    <definedName name="ContractType">#REF!</definedName>
    <definedName name="costplanno">'[1]BASIC INFO'!$B$8</definedName>
    <definedName name="CP">#REF!</definedName>
    <definedName name="csdvb\">[0]!csdvb\</definedName>
    <definedName name="cwac" hidden="1">{#N/A,#N/A,FALSE,"Summary information";#N/A,#N/A,FALSE,"BLANK"}</definedName>
    <definedName name="cwaec">[0]!cwaec</definedName>
    <definedName name="cwaefew">[0]!cwaefew</definedName>
    <definedName name="cweecc"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cwef">[0]!cwef</definedName>
    <definedName name="cxawc">[0]!cxawc</definedName>
    <definedName name="cxawccaa">[0]!cxawccaa</definedName>
    <definedName name="DATA1">#REF!</definedName>
    <definedName name="_xlnm.Database">#REF!</definedName>
    <definedName name="date">'[1]BASIC INFO'!$B$10</definedName>
    <definedName name="dbbnbb\s\">[0]!dbbnbb\s\</definedName>
    <definedName name="dcagMIPS">#REF!</definedName>
    <definedName name="DESCRIPTION">'[3]MASTER DATA SHEET'!$B$10</definedName>
    <definedName name="dfa">#REF!</definedName>
    <definedName name="dfb">[0]!dfb</definedName>
    <definedName name="DP">#REF!</definedName>
    <definedName name="dsvs">[0]!dsvs</definedName>
    <definedName name="dvvdv">[0]!dvvdv</definedName>
    <definedName name="ecvawc">[0]!ecvawc</definedName>
    <definedName name="eda">[1]areas!$H$55</definedName>
    <definedName name="ef"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equipmentpercentage">#REF!</definedName>
    <definedName name="er"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Estimator">#REF!</definedName>
    <definedName name="f">[0]!f</definedName>
    <definedName name="FBCMIPS">[4]FBCSummary!#REF!</definedName>
    <definedName name="fda">[0]!fda</definedName>
    <definedName name="fdaf"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fdafdafda">[0]!fdafdafda</definedName>
    <definedName name="ffed"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fvbb"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g">[0]!g</definedName>
    <definedName name="gfa" localSheetId="0">[1]areas!$H$57</definedName>
    <definedName name="GFA">'[5]4'!$B$3</definedName>
    <definedName name="GIFA_M2">'[3]MASTER DATA SHEET'!$B$15</definedName>
    <definedName name="group1">#REF!</definedName>
    <definedName name="group1A">#REF!</definedName>
    <definedName name="group2">#REF!</definedName>
    <definedName name="group2A">#REF!</definedName>
    <definedName name="group3">#REF!</definedName>
    <definedName name="group3A">#REF!</definedName>
    <definedName name="group4">#REF!</definedName>
    <definedName name="group4A">#REF!</definedName>
    <definedName name="group5">#REF!</definedName>
    <definedName name="group5A">#REF!</definedName>
    <definedName name="group6">#REF!</definedName>
    <definedName name="group7">#REF!</definedName>
    <definedName name="group7A">#REF!</definedName>
    <definedName name="InsertRow_And_Copy">[0]!InsertRow_And_Copy</definedName>
    <definedName name="ISSUE_DATE">'[3]MASTER DATA SHEET'!$B$12</definedName>
    <definedName name="ItemMacro">[0]!ItemMacro</definedName>
    <definedName name="ItemProduct">[0]!ItemProduct</definedName>
    <definedName name="jjjjjjjjjj"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JOB_NR">'[3]MASTER DATA SHEET'!$B$7</definedName>
    <definedName name="jobtitle">'[1]BASIC INFO'!$B$7</definedName>
    <definedName name="K">#REF!</definedName>
    <definedName name="KK">'[6]CASH FLOW1'!#REF!</definedName>
    <definedName name="kkkkkkkkkkkkk">[0]!kkkkkkkkkkkkk</definedName>
    <definedName name="l">[0]!l</definedName>
    <definedName name="lic">[1]areas!$H$56</definedName>
    <definedName name="Location">#REF!</definedName>
    <definedName name="m">[0]!m</definedName>
    <definedName name="mcub">[0]!mcub</definedName>
    <definedName name="mcuc">[0]!mcuc</definedName>
    <definedName name="MIPS">[4]FBCSummary!#REF!</definedName>
    <definedName name="mnm"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msq">[0]!msq</definedName>
    <definedName name="name">#REF!</definedName>
    <definedName name="NationalProjectsStaff">#REF!</definedName>
    <definedName name="NIA" localSheetId="0">'[7]4'!$B$4</definedName>
    <definedName name="NIA">'[5]4'!$B$4</definedName>
    <definedName name="No">#REF!</definedName>
    <definedName name="NOWMIPS">#REF!</definedName>
    <definedName name="NPTitles">#REF!</definedName>
    <definedName name="nr">[0]!nr</definedName>
    <definedName name="obcMIPS">#REF!</definedName>
    <definedName name="offwkhours">'[8]Table 1'!$F$13</definedName>
    <definedName name="Offwkhrs">#REF!</definedName>
    <definedName name="p" localSheetId="0">'[1]BASIC INFO'!$B$54</definedName>
    <definedName name="P">#REF!</definedName>
    <definedName name="pr">'[1]BASIC INFO'!$B$55</definedName>
    <definedName name="PrelimCodes">#REF!</definedName>
    <definedName name="prelimsetc">#REF!</definedName>
    <definedName name="_xlnm.Print_Area" localSheetId="0">Cover!$A$1:$H$26</definedName>
    <definedName name="_xlnm.Print_Area" localSheetId="1">'Valuation Cert'!$A$1:$Q$52</definedName>
    <definedName name="_xlnm.Print_Area">#REF!</definedName>
    <definedName name="PRINT_AREA_MI">#REF!</definedName>
    <definedName name="ProjectBand">#REF!</definedName>
    <definedName name="ProjectValueBand">#REF!</definedName>
    <definedName name="q">[0]!q</definedName>
    <definedName name="RedevDepartmental">#REF!</definedName>
    <definedName name="Reference">#REF!</definedName>
    <definedName name="Reference1">#REF!</definedName>
    <definedName name="Reference2">#REF!</definedName>
    <definedName name="Region">#REF!</definedName>
    <definedName name="round">'[1]BASIC INFO'!$B$56</definedName>
    <definedName name="rounding">'[1]BASIC INFO'!$B$7</definedName>
    <definedName name="rt"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s" localSheetId="0"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S">#REF!</definedName>
    <definedName name="S.10">#REF!</definedName>
    <definedName name="S.2">#REF!</definedName>
    <definedName name="S.6">#REF!</definedName>
    <definedName name="S.7">#REF!</definedName>
    <definedName name="S.8">#REF!</definedName>
    <definedName name="S.9">#REF!</definedName>
    <definedName name="s_curve" localSheetId="0">#REF!</definedName>
    <definedName name="s_curve">#REF!</definedName>
    <definedName name="scheme">'[1]BASIC INFO'!$B$6</definedName>
    <definedName name="sdgs"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selectrange">#REF!</definedName>
    <definedName name="sitewkhours">'[8]Table 1'!$F$15</definedName>
    <definedName name="sitewkhrs">#REF!</definedName>
    <definedName name="sum">[9]CASHFLOW!$C$3:$G$32</definedName>
    <definedName name="Time">#REF!</definedName>
    <definedName name="TITLE">'[3]MASTER DATA SHEET'!$B$11</definedName>
    <definedName name="Titlehours">#REF!</definedName>
    <definedName name="TitleHoursHours">#REF!</definedName>
    <definedName name="ty"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u">'[10]BASIC INFO'!$B$22</definedName>
    <definedName name="UNITS">#REF!</definedName>
    <definedName name="uy">[0]!uy</definedName>
    <definedName name="vabba" hidden="1">{#N/A,#N/A,FALSE,"Summary information";#N/A,#N/A,FALSE,"BLANK"}</definedName>
    <definedName name="vsavs"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vvvvvvvvvv"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vvvvvvvvvvv">[0]!vvvvvvvvvvv</definedName>
    <definedName name="waec"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weac">[0]!weac</definedName>
    <definedName name="wrn.buildstruct."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wrn.Landlords."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wrn.summary." hidden="1">{#N/A,#N/A,FALSE,"Summary information";#N/A,#N/A,FALSE,"BLANK"}</definedName>
    <definedName name="wrn.Tenants."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x" localSheetId="0">Cover!x</definedName>
    <definedName name="X">#REF!</definedName>
    <definedName name="xcawc">[0]!xcawc</definedName>
    <definedName name="XX">[4]FBCSummary!#REF!</definedName>
    <definedName name="xxxxxxxxxxx"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xxxxxxxxxxxx" hidden="1">{#N/A,#N/A,FALSE,"Summary information";#N/A,#N/A,FALSE,"BLANK"}</definedName>
    <definedName name="z\c\" hidden="1">{#N/A,#N/A,FALSE,"Summary information";#N/A,#N/A,FALSE,"BLANK"}</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0" i="12" l="1"/>
  <c r="N24" i="12" s="1"/>
  <c r="N32" i="12" l="1"/>
  <c r="N39" i="12" l="1"/>
</calcChain>
</file>

<file path=xl/sharedStrings.xml><?xml version="1.0" encoding="utf-8"?>
<sst xmlns="http://schemas.openxmlformats.org/spreadsheetml/2006/main" count="58" uniqueCount="55">
  <si>
    <t>Issued By:</t>
  </si>
  <si>
    <t>Recommendation Nr :</t>
  </si>
  <si>
    <t>Address:</t>
  </si>
  <si>
    <t xml:space="preserve">Date of Issue of Recommendation: </t>
  </si>
  <si>
    <t xml:space="preserve">Reference : </t>
  </si>
  <si>
    <t xml:space="preserve">Date of Application for Payment: </t>
  </si>
  <si>
    <t>Works :</t>
  </si>
  <si>
    <t>Gross Payment Recommendation</t>
  </si>
  <si>
    <t>Employer</t>
  </si>
  <si>
    <t>Less total amount of Retention</t>
  </si>
  <si>
    <t>Net Payment</t>
  </si>
  <si>
    <t>Contractor :</t>
  </si>
  <si>
    <t>Less</t>
  </si>
  <si>
    <t>Total amount previously recommended</t>
  </si>
  <si>
    <t>for payment to the Contractor</t>
  </si>
  <si>
    <t>Contract Sum :</t>
  </si>
  <si>
    <t>Recommended Payment</t>
  </si>
  <si>
    <t>Contract Form:</t>
  </si>
  <si>
    <t>Notes :</t>
  </si>
  <si>
    <t>1.</t>
  </si>
  <si>
    <t>All the amounts stated are exclusive of Value Added Tax.</t>
  </si>
  <si>
    <t xml:space="preserve">  (£</t>
  </si>
  <si>
    <t>)</t>
  </si>
  <si>
    <t>2.</t>
  </si>
  <si>
    <t>Neither this recommendation nor subsequent certification or payment thereof is itself evidence that the design, works, materials or goods to which they relate are in accordance with this Contract.</t>
  </si>
  <si>
    <t>3.</t>
  </si>
  <si>
    <t>The balance stated is subject to any statutory deductions which the Employer may obliged to make under the provisions of the Construction Industry Scheme where the Employer is not classed as a 'Contractor' for the purposes of the relevant Act</t>
  </si>
  <si>
    <t>Signed</t>
  </si>
  <si>
    <t>for</t>
  </si>
  <si>
    <t xml:space="preserve"> </t>
  </si>
  <si>
    <t>We recommend the payment of</t>
  </si>
  <si>
    <t xml:space="preserve">INTERIM RCOMMENDATION FOR PAYMENT </t>
  </si>
  <si>
    <t>The Leeming Building</t>
  </si>
  <si>
    <t>Ludgate Chambers</t>
  </si>
  <si>
    <t>Ludgate Hill</t>
  </si>
  <si>
    <t>Leeds, LS2 7HZ</t>
  </si>
  <si>
    <t>Leeds</t>
  </si>
  <si>
    <t>2020 House, Skinner Lane</t>
  </si>
  <si>
    <t>SRA Project &amp; Cost Management</t>
  </si>
  <si>
    <t xml:space="preserve">2020 House, Phase 2 </t>
  </si>
  <si>
    <t>2020 House (Residential Management) Limited</t>
  </si>
  <si>
    <t>Management Office</t>
  </si>
  <si>
    <t xml:space="preserve">2020 House </t>
  </si>
  <si>
    <t>Skinner Lane, Leeds, LS7 1BB</t>
  </si>
  <si>
    <t>Castles Special Projects LLP</t>
  </si>
  <si>
    <t>Unit 2</t>
  </si>
  <si>
    <t>Grange Valley Road</t>
  </si>
  <si>
    <t>Batley</t>
  </si>
  <si>
    <t>WF17 6LL</t>
  </si>
  <si>
    <t xml:space="preserve">JCT 2016 Design and Build Contract </t>
  </si>
  <si>
    <t>SRA Project &amp; Cost Management Limited</t>
  </si>
  <si>
    <t>Payment becomes due 21 days from the date of the contractors application</t>
  </si>
  <si>
    <t>7.9.22</t>
  </si>
  <si>
    <t>Three Hundred and Five Thousand, Nine Hundred and Twenty Nine Pounds and Ten Pence</t>
  </si>
  <si>
    <t>Interim recommendation for Payment Number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</si>
</sst>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164" formatCode="[$-F800]dddd\,\ mmmm\ dd\,\ yyyy"/>
    <numFmt numFmtId="165" formatCode="dd\-mmm\-yy_)"/>
    <numFmt numFmtId="166" formatCode="#,##0_);\(#,##0\)"/>
    <numFmt numFmtId="167" formatCode="&quot;£&quot;#,##0_);\(&quot;£&quot;#,##0\)"/>
    <numFmt numFmtId="168" formatCode="#,##0.00_);\(#,##0.00\)"/>
  </numFmts>
  <fonts count="39">
    <font>
      <sz val="10"/>
      <name val="Arial"/>
    </font>
    <font>
      <sz val="10"/>
      <name val="Arial"/>
      <family val="2"/>
    </font>
    <font>
      <sz val="12"/>
      <name val="SWISS"/>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2"/>
      <name val="Univers (WN)"/>
    </font>
    <font>
      <sz val="10"/>
      <name val="Century Gothic"/>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2"/>
      <name val="Century Gothic"/>
      <family val="2"/>
    </font>
    <font>
      <sz val="12"/>
      <name val="Century Gothic"/>
      <family val="2"/>
    </font>
    <font>
      <sz val="11"/>
      <name val="Century Gothic"/>
      <family val="2"/>
    </font>
    <font>
      <b/>
      <u/>
      <sz val="24"/>
      <name val="Calibri"/>
      <family val="2"/>
      <scheme val="minor"/>
    </font>
    <font>
      <sz val="12"/>
      <name val="Calibri"/>
      <family val="2"/>
      <scheme val="minor"/>
    </font>
    <font>
      <b/>
      <u/>
      <sz val="14"/>
      <name val="Calibri"/>
      <family val="2"/>
      <scheme val="minor"/>
    </font>
    <font>
      <b/>
      <sz val="12"/>
      <name val="Calibri"/>
      <family val="2"/>
      <scheme val="minor"/>
    </font>
    <font>
      <sz val="12"/>
      <color rgb="FF000000"/>
      <name val="Calibri"/>
      <family val="2"/>
      <scheme val="minor"/>
    </font>
    <font>
      <sz val="12"/>
      <color indexed="8"/>
      <name val="Calibri"/>
      <family val="2"/>
      <scheme val="minor"/>
    </font>
    <font>
      <i/>
      <sz val="12"/>
      <name val="Calibri"/>
      <family val="2"/>
      <scheme val="minor"/>
    </font>
    <font>
      <sz val="10"/>
      <name val="Calibri"/>
      <family val="2"/>
      <scheme val="minor"/>
    </font>
    <font>
      <b/>
      <u/>
      <sz val="12"/>
      <name val="Calibri"/>
      <family val="2"/>
      <scheme val="minor"/>
    </font>
    <font>
      <sz val="8"/>
      <name val="Calibri"/>
      <family val="2"/>
      <scheme val="minor"/>
    </font>
    <font>
      <b/>
      <sz val="22"/>
      <name val="Calibri"/>
      <family val="2"/>
      <scheme val="minor"/>
    </font>
    <font>
      <b/>
      <sz val="22"/>
      <color rgb="FF000000"/>
      <name val="Calibri"/>
      <family val="2"/>
      <scheme val="minor"/>
    </font>
    <font>
      <sz val="22"/>
      <name val="Calibri"/>
      <family val="2"/>
      <scheme val="minor"/>
    </font>
    <font>
      <b/>
      <sz val="26"/>
      <color rgb="FF000000"/>
      <name val="Calibri"/>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2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double">
        <color indexed="8"/>
      </left>
      <right/>
      <top style="double">
        <color indexed="8"/>
      </top>
      <bottom/>
      <diagonal/>
    </border>
    <border>
      <left/>
      <right/>
      <top style="double">
        <color indexed="8"/>
      </top>
      <bottom/>
      <diagonal/>
    </border>
    <border>
      <left/>
      <right style="double">
        <color indexed="8"/>
      </right>
      <top style="double">
        <color indexed="8"/>
      </top>
      <bottom/>
      <diagonal/>
    </border>
    <border>
      <left style="double">
        <color indexed="8"/>
      </left>
      <right/>
      <top/>
      <bottom/>
      <diagonal/>
    </border>
    <border>
      <left/>
      <right style="double">
        <color indexed="8"/>
      </right>
      <top/>
      <bottom/>
      <diagonal/>
    </border>
    <border>
      <left style="double">
        <color indexed="8"/>
      </left>
      <right/>
      <top/>
      <bottom style="double">
        <color indexed="8"/>
      </bottom>
      <diagonal/>
    </border>
    <border>
      <left/>
      <right/>
      <top/>
      <bottom style="double">
        <color indexed="8"/>
      </bottom>
      <diagonal/>
    </border>
    <border>
      <left/>
      <right style="double">
        <color indexed="8"/>
      </right>
      <top/>
      <bottom style="double">
        <color indexed="8"/>
      </bottom>
      <diagonal/>
    </border>
  </borders>
  <cellStyleXfs count="45">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4"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6" fillId="0" borderId="0"/>
    <xf numFmtId="0" fontId="2" fillId="0" borderId="0"/>
    <xf numFmtId="0" fontId="17" fillId="23" borderId="7" applyNumberFormat="0" applyFont="0" applyAlignment="0" applyProtection="0"/>
    <xf numFmtId="0" fontId="18" fillId="20" borderId="8" applyNumberForma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0" borderId="0" applyNumberFormat="0" applyFill="0" applyBorder="0" applyAlignment="0" applyProtection="0"/>
  </cellStyleXfs>
  <cellXfs count="77">
    <xf numFmtId="0" fontId="0" fillId="0" borderId="0" xfId="0"/>
    <xf numFmtId="0" fontId="22" fillId="0" borderId="0" xfId="38" applyFont="1"/>
    <xf numFmtId="0" fontId="23" fillId="0" borderId="0" xfId="38" applyFont="1"/>
    <xf numFmtId="0" fontId="22" fillId="0" borderId="0" xfId="38" applyFont="1" applyAlignment="1">
      <alignment horizontal="center"/>
    </xf>
    <xf numFmtId="164" fontId="22" fillId="0" borderId="0" xfId="38" quotePrefix="1" applyNumberFormat="1" applyFont="1"/>
    <xf numFmtId="164" fontId="22" fillId="0" borderId="0" xfId="38" applyNumberFormat="1" applyFont="1"/>
    <xf numFmtId="0" fontId="24" fillId="0" borderId="0" xfId="38" applyFont="1"/>
    <xf numFmtId="10" fontId="23" fillId="0" borderId="0" xfId="38" applyNumberFormat="1" applyFont="1"/>
    <xf numFmtId="0" fontId="25" fillId="0" borderId="0" xfId="39" applyFont="1" applyAlignment="1">
      <alignment vertical="top"/>
    </xf>
    <xf numFmtId="0" fontId="26" fillId="0" borderId="0" xfId="39" applyFont="1" applyAlignment="1">
      <alignment vertical="top"/>
    </xf>
    <xf numFmtId="0" fontId="27" fillId="0" borderId="0" xfId="39" applyFont="1" applyAlignment="1">
      <alignment vertical="top"/>
    </xf>
    <xf numFmtId="0" fontId="25" fillId="0" borderId="0" xfId="39" applyFont="1" applyAlignment="1">
      <alignment horizontal="centerContinuous" vertical="top"/>
    </xf>
    <xf numFmtId="0" fontId="26" fillId="0" borderId="0" xfId="39" applyFont="1" applyAlignment="1">
      <alignment horizontal="centerContinuous" vertical="top"/>
    </xf>
    <xf numFmtId="0" fontId="25" fillId="0" borderId="0" xfId="39" applyFont="1" applyAlignment="1">
      <alignment horizontal="right" vertical="top"/>
    </xf>
    <xf numFmtId="0" fontId="26" fillId="0" borderId="10" xfId="39" applyFont="1" applyBorder="1" applyAlignment="1">
      <alignment vertical="top"/>
    </xf>
    <xf numFmtId="0" fontId="26" fillId="0" borderId="11" xfId="39" applyFont="1" applyBorder="1" applyAlignment="1">
      <alignment vertical="top"/>
    </xf>
    <xf numFmtId="0" fontId="26" fillId="0" borderId="12" xfId="39" applyFont="1" applyBorder="1" applyAlignment="1">
      <alignment vertical="top"/>
    </xf>
    <xf numFmtId="0" fontId="26" fillId="0" borderId="13" xfId="39" applyFont="1" applyBorder="1" applyAlignment="1">
      <alignment vertical="top"/>
    </xf>
    <xf numFmtId="0" fontId="26" fillId="0" borderId="0" xfId="39" applyFont="1" applyAlignment="1">
      <alignment horizontal="right" vertical="top"/>
    </xf>
    <xf numFmtId="0" fontId="26" fillId="0" borderId="14" xfId="39" applyFont="1" applyBorder="1" applyAlignment="1">
      <alignment vertical="top"/>
    </xf>
    <xf numFmtId="0" fontId="26" fillId="0" borderId="0" xfId="39" applyFont="1" applyAlignment="1">
      <alignment horizontal="left"/>
    </xf>
    <xf numFmtId="164" fontId="26" fillId="0" borderId="0" xfId="39" applyNumberFormat="1" applyFont="1" applyAlignment="1">
      <alignment horizontal="right" vertical="top"/>
    </xf>
    <xf numFmtId="0" fontId="28" fillId="0" borderId="0" xfId="39" applyFont="1" applyAlignment="1">
      <alignment vertical="top"/>
    </xf>
    <xf numFmtId="0" fontId="26" fillId="0" borderId="0" xfId="39" applyFont="1" applyAlignment="1">
      <alignment vertical="top" wrapText="1"/>
    </xf>
    <xf numFmtId="0" fontId="26" fillId="0" borderId="0" xfId="39" applyFont="1" applyAlignment="1">
      <alignment horizontal="left" vertical="top"/>
    </xf>
    <xf numFmtId="0" fontId="26" fillId="0" borderId="15" xfId="39" applyFont="1" applyBorder="1" applyAlignment="1">
      <alignment vertical="top"/>
    </xf>
    <xf numFmtId="0" fontId="26" fillId="0" borderId="16" xfId="39" applyFont="1" applyBorder="1" applyAlignment="1">
      <alignment vertical="top"/>
    </xf>
    <xf numFmtId="0" fontId="26" fillId="0" borderId="17" xfId="39" applyFont="1" applyBorder="1" applyAlignment="1">
      <alignment vertical="top"/>
    </xf>
    <xf numFmtId="0" fontId="26" fillId="0" borderId="12" xfId="39" applyFont="1" applyBorder="1" applyAlignment="1">
      <alignment horizontal="left"/>
    </xf>
    <xf numFmtId="0" fontId="29" fillId="0" borderId="0" xfId="0" applyFont="1" applyAlignment="1">
      <alignment vertical="center"/>
    </xf>
    <xf numFmtId="0" fontId="26" fillId="0" borderId="14" xfId="39" applyFont="1" applyBorder="1" applyAlignment="1">
      <alignment horizontal="left"/>
    </xf>
    <xf numFmtId="0" fontId="26" fillId="0" borderId="18" xfId="39" applyFont="1" applyBorder="1" applyAlignment="1">
      <alignment vertical="top"/>
    </xf>
    <xf numFmtId="0" fontId="26" fillId="0" borderId="19" xfId="39" applyFont="1" applyBorder="1" applyAlignment="1">
      <alignment vertical="top"/>
    </xf>
    <xf numFmtId="0" fontId="26" fillId="0" borderId="20" xfId="39" applyFont="1" applyBorder="1" applyAlignment="1">
      <alignment vertical="top"/>
    </xf>
    <xf numFmtId="0" fontId="26" fillId="0" borderId="0" xfId="0" applyFont="1"/>
    <xf numFmtId="0" fontId="26" fillId="0" borderId="21" xfId="39" applyFont="1" applyBorder="1" applyAlignment="1">
      <alignment vertical="top"/>
    </xf>
    <xf numFmtId="0" fontId="26" fillId="0" borderId="22" xfId="39" applyFont="1" applyBorder="1" applyAlignment="1">
      <alignment vertical="top"/>
    </xf>
    <xf numFmtId="0" fontId="26" fillId="0" borderId="0" xfId="39" applyFont="1" applyAlignment="1">
      <alignment horizontal="center" vertical="top"/>
    </xf>
    <xf numFmtId="44" fontId="26" fillId="0" borderId="0" xfId="28" applyFont="1" applyAlignment="1" applyProtection="1">
      <alignment vertical="top"/>
    </xf>
    <xf numFmtId="0" fontId="30" fillId="0" borderId="0" xfId="39" applyFont="1"/>
    <xf numFmtId="10" fontId="26" fillId="0" borderId="22" xfId="39" applyNumberFormat="1" applyFont="1" applyBorder="1" applyAlignment="1">
      <alignment horizontal="left" vertical="top"/>
    </xf>
    <xf numFmtId="0" fontId="26" fillId="0" borderId="23" xfId="39" applyFont="1" applyBorder="1" applyAlignment="1">
      <alignment vertical="top"/>
    </xf>
    <xf numFmtId="0" fontId="26" fillId="0" borderId="24" xfId="39" applyFont="1" applyBorder="1" applyAlignment="1">
      <alignment vertical="top"/>
    </xf>
    <xf numFmtId="0" fontId="26" fillId="0" borderId="25" xfId="39" applyFont="1" applyBorder="1" applyAlignment="1">
      <alignment vertical="top"/>
    </xf>
    <xf numFmtId="44" fontId="26" fillId="0" borderId="24" xfId="28" applyFont="1" applyBorder="1" applyAlignment="1" applyProtection="1">
      <alignment vertical="top"/>
    </xf>
    <xf numFmtId="166" fontId="26" fillId="0" borderId="0" xfId="39" applyNumberFormat="1" applyFont="1" applyAlignment="1">
      <alignment vertical="top"/>
    </xf>
    <xf numFmtId="0" fontId="26" fillId="0" borderId="22" xfId="39" applyFont="1" applyBorder="1" applyAlignment="1">
      <alignment horizontal="right" vertical="top"/>
    </xf>
    <xf numFmtId="167" fontId="26" fillId="0" borderId="14" xfId="39" applyNumberFormat="1" applyFont="1" applyBorder="1" applyAlignment="1">
      <alignment horizontal="left" vertical="top"/>
    </xf>
    <xf numFmtId="165" fontId="28" fillId="0" borderId="22" xfId="39" applyNumberFormat="1" applyFont="1" applyBorder="1" applyAlignment="1">
      <alignment horizontal="center" vertical="top"/>
    </xf>
    <xf numFmtId="0" fontId="28" fillId="0" borderId="0" xfId="39" applyFont="1" applyAlignment="1">
      <alignment horizontal="center" vertical="top"/>
    </xf>
    <xf numFmtId="44" fontId="28" fillId="0" borderId="0" xfId="28" applyFont="1" applyAlignment="1" applyProtection="1">
      <alignment vertical="top"/>
    </xf>
    <xf numFmtId="166" fontId="26" fillId="0" borderId="24" xfId="39" applyNumberFormat="1" applyFont="1" applyBorder="1" applyAlignment="1">
      <alignment vertical="top"/>
    </xf>
    <xf numFmtId="166" fontId="26" fillId="0" borderId="16" xfId="39" applyNumberFormat="1" applyFont="1" applyBorder="1" applyAlignment="1">
      <alignment vertical="top"/>
    </xf>
    <xf numFmtId="0" fontId="31" fillId="0" borderId="0" xfId="39" applyFont="1" applyAlignment="1">
      <alignment vertical="top"/>
    </xf>
    <xf numFmtId="0" fontId="32" fillId="0" borderId="0" xfId="39" applyFont="1" applyAlignment="1">
      <alignment vertical="top"/>
    </xf>
    <xf numFmtId="168" fontId="26" fillId="0" borderId="0" xfId="39" applyNumberFormat="1" applyFont="1" applyAlignment="1">
      <alignment vertical="top"/>
    </xf>
    <xf numFmtId="0" fontId="32" fillId="0" borderId="0" xfId="39" quotePrefix="1" applyFont="1" applyAlignment="1">
      <alignment horizontal="left" vertical="top"/>
    </xf>
    <xf numFmtId="0" fontId="33" fillId="0" borderId="0" xfId="39" applyFont="1" applyAlignment="1">
      <alignment vertical="top"/>
    </xf>
    <xf numFmtId="0" fontId="26" fillId="0" borderId="0" xfId="39" quotePrefix="1" applyFont="1" applyAlignment="1">
      <alignment horizontal="left" vertical="top"/>
    </xf>
    <xf numFmtId="0" fontId="32" fillId="0" borderId="0" xfId="39" applyFont="1" applyAlignment="1">
      <alignment horizontal="left" vertical="top" wrapText="1"/>
    </xf>
    <xf numFmtId="0" fontId="32" fillId="0" borderId="14" xfId="39" applyFont="1" applyBorder="1" applyAlignment="1">
      <alignment horizontal="left" vertical="top" wrapText="1"/>
    </xf>
    <xf numFmtId="0" fontId="32" fillId="0" borderId="16" xfId="39" applyFont="1" applyBorder="1" applyAlignment="1">
      <alignment horizontal="left" vertical="top" wrapText="1"/>
    </xf>
    <xf numFmtId="0" fontId="32" fillId="0" borderId="17" xfId="39" applyFont="1" applyBorder="1" applyAlignment="1">
      <alignment horizontal="left" vertical="top" wrapText="1"/>
    </xf>
    <xf numFmtId="0" fontId="34" fillId="0" borderId="0" xfId="39" applyFont="1" applyAlignment="1">
      <alignment vertical="top"/>
    </xf>
    <xf numFmtId="166" fontId="31" fillId="0" borderId="0" xfId="39" applyNumberFormat="1" applyFont="1" applyAlignment="1">
      <alignment horizontal="centerContinuous" vertical="top"/>
    </xf>
    <xf numFmtId="44" fontId="26" fillId="0" borderId="0" xfId="28" applyFont="1" applyFill="1" applyAlignment="1">
      <alignment horizontal="left" vertical="top"/>
    </xf>
    <xf numFmtId="0" fontId="35" fillId="0" borderId="0" xfId="38" applyFont="1" applyAlignment="1">
      <alignment horizontal="center" vertical="center"/>
    </xf>
    <xf numFmtId="164" fontId="35" fillId="0" borderId="0" xfId="38" applyNumberFormat="1" applyFont="1" applyAlignment="1">
      <alignment horizontal="center" vertical="center"/>
    </xf>
    <xf numFmtId="0" fontId="36" fillId="0" borderId="0" xfId="0" applyFont="1" applyAlignment="1">
      <alignment horizontal="center" vertical="center" readingOrder="1"/>
    </xf>
    <xf numFmtId="0" fontId="37" fillId="0" borderId="0" xfId="38" applyFont="1" applyAlignment="1">
      <alignment horizontal="center" vertical="center"/>
    </xf>
    <xf numFmtId="15" fontId="36" fillId="0" borderId="0" xfId="0" applyNumberFormat="1" applyFont="1" applyAlignment="1">
      <alignment horizontal="center" vertical="center" readingOrder="1"/>
    </xf>
    <xf numFmtId="0" fontId="38" fillId="0" borderId="0" xfId="0" applyFont="1" applyAlignment="1">
      <alignment horizontal="center" vertical="center" readingOrder="1"/>
    </xf>
    <xf numFmtId="0" fontId="32" fillId="0" borderId="0" xfId="39" applyFont="1" applyAlignment="1">
      <alignment horizontal="left" vertical="top" wrapText="1"/>
    </xf>
    <xf numFmtId="0" fontId="26" fillId="0" borderId="0" xfId="39" applyFont="1" applyAlignment="1">
      <alignment vertical="top" wrapText="1"/>
    </xf>
    <xf numFmtId="0" fontId="26" fillId="0" borderId="14" xfId="39" applyFont="1" applyBorder="1" applyAlignment="1">
      <alignment vertical="top" wrapText="1"/>
    </xf>
    <xf numFmtId="0" fontId="32" fillId="0" borderId="14" xfId="39" applyFont="1" applyBorder="1" applyAlignment="1">
      <alignment horizontal="left" vertical="top" wrapText="1"/>
    </xf>
    <xf numFmtId="0" fontId="26" fillId="0" borderId="0" xfId="39" applyFont="1" applyAlignment="1">
      <alignment horizontal="left" vertical="top" wrapText="1"/>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urrency" xfId="28" builtinId="4"/>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rmal_13.11.2008" xfId="38" xr:uid="{00000000-0005-0000-0000-000026000000}"/>
    <cellStyle name="Normal_Certificate Nr 1" xfId="39" xr:uid="{00000000-0005-0000-0000-000027000000}"/>
    <cellStyle name="Note" xfId="40" builtinId="10" customBuiltin="1"/>
    <cellStyle name="Output" xfId="41" builtinId="21" customBuiltin="1"/>
    <cellStyle name="Title" xfId="42" builtinId="15" customBuiltin="1"/>
    <cellStyle name="Total" xfId="43" builtinId="25" customBuiltin="1"/>
    <cellStyle name="Warning Text" xfId="44" builtinId="11" customBuiltin="1"/>
  </cellStyles>
  <dxfs count="2">
    <dxf>
      <font>
        <strike val="0"/>
        <condense val="0"/>
        <extend val="0"/>
        <color auto="1"/>
      </font>
    </dxf>
    <dxf>
      <font>
        <strike val="0"/>
        <condense val="0"/>
        <extend val="0"/>
        <color auto="1"/>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sharedStrings" Target="sharedStrings.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640418</xdr:colOff>
      <xdr:row>1</xdr:row>
      <xdr:rowOff>30441</xdr:rowOff>
    </xdr:from>
    <xdr:to>
      <xdr:col>1</xdr:col>
      <xdr:colOff>1609725</xdr:colOff>
      <xdr:row>4</xdr:row>
      <xdr:rowOff>257734</xdr:rowOff>
    </xdr:to>
    <xdr:pic>
      <xdr:nvPicPr>
        <xdr:cNvPr id="6" name="Picture 5">
          <a:extLst>
            <a:ext uri="{FF2B5EF4-FFF2-40B4-BE49-F238E27FC236}">
              <a16:creationId xmlns:a16="http://schemas.microsoft.com/office/drawing/2014/main" id="{A8CE0C1B-9ED9-405B-B9BC-A76B913FE27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0418" y="232147"/>
          <a:ext cx="1611964" cy="821205"/>
        </a:xfrm>
        <a:prstGeom prst="rect">
          <a:avLst/>
        </a:prstGeom>
        <a:noFill/>
        <a:ln>
          <a:noFill/>
        </a:ln>
      </xdr:spPr>
    </xdr:pic>
    <xdr:clientData/>
  </xdr:twoCellAnchor>
  <xdr:twoCellAnchor editAs="oneCell">
    <xdr:from>
      <xdr:col>2</xdr:col>
      <xdr:colOff>0</xdr:colOff>
      <xdr:row>14</xdr:row>
      <xdr:rowOff>0</xdr:rowOff>
    </xdr:from>
    <xdr:to>
      <xdr:col>2</xdr:col>
      <xdr:colOff>304800</xdr:colOff>
      <xdr:row>14</xdr:row>
      <xdr:rowOff>303306</xdr:rowOff>
    </xdr:to>
    <xdr:sp macro="" textlink="">
      <xdr:nvSpPr>
        <xdr:cNvPr id="1026" name="AutoShape 2" descr="Image result for ducie house manchester">
          <a:extLst>
            <a:ext uri="{FF2B5EF4-FFF2-40B4-BE49-F238E27FC236}">
              <a16:creationId xmlns:a16="http://schemas.microsoft.com/office/drawing/2014/main" id="{8983F0A6-D5D9-4248-9421-805C3E79BB85}"/>
            </a:ext>
          </a:extLst>
        </xdr:cNvPr>
        <xdr:cNvSpPr>
          <a:spLocks noChangeAspect="1" noChangeArrowheads="1"/>
        </xdr:cNvSpPr>
      </xdr:nvSpPr>
      <xdr:spPr bwMode="auto">
        <a:xfrm>
          <a:off x="2679700" y="275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44</xdr:row>
      <xdr:rowOff>0</xdr:rowOff>
    </xdr:from>
    <xdr:to>
      <xdr:col>10</xdr:col>
      <xdr:colOff>1580515</xdr:colOff>
      <xdr:row>47</xdr:row>
      <xdr:rowOff>180772</xdr:rowOff>
    </xdr:to>
    <xdr:pic>
      <xdr:nvPicPr>
        <xdr:cNvPr id="5" name="Picture 4">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1" cstate="print">
          <a:lum bright="27000" contrast="11000"/>
        </a:blip>
        <a:srcRect/>
        <a:stretch>
          <a:fillRect/>
        </a:stretch>
      </xdr:blipFill>
      <xdr:spPr bwMode="auto">
        <a:xfrm>
          <a:off x="8103577" y="8792308"/>
          <a:ext cx="1581150" cy="769563"/>
        </a:xfrm>
        <a:prstGeom prst="rect">
          <a:avLst/>
        </a:prstGeom>
        <a:noFill/>
        <a:ln w="9525">
          <a:noFill/>
          <a:miter lim="800000"/>
          <a:headEnd/>
          <a:tailEnd/>
        </a:ln>
      </xdr:spPr>
    </xdr:pic>
    <xdr:clientData/>
  </xdr:twoCellAnchor>
  <xdr:twoCellAnchor editAs="oneCell">
    <xdr:from>
      <xdr:col>1</xdr:col>
      <xdr:colOff>230187</xdr:colOff>
      <xdr:row>0</xdr:row>
      <xdr:rowOff>55563</xdr:rowOff>
    </xdr:from>
    <xdr:to>
      <xdr:col>4</xdr:col>
      <xdr:colOff>67309</xdr:colOff>
      <xdr:row>1</xdr:row>
      <xdr:rowOff>276543</xdr:rowOff>
    </xdr:to>
    <xdr:pic>
      <xdr:nvPicPr>
        <xdr:cNvPr id="7" name="Picture 6">
          <a:extLst>
            <a:ext uri="{FF2B5EF4-FFF2-40B4-BE49-F238E27FC236}">
              <a16:creationId xmlns:a16="http://schemas.microsoft.com/office/drawing/2014/main" id="{243B451D-C6AC-46FF-BAD5-0DAC59A47E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8187" y="55563"/>
          <a:ext cx="1366520" cy="61468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pla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DATA\BASS\HIX\COSTPLAN\49BED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MASTER%20DATA%20SHEET"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Jobs/21050%20Headingley%20Primary%20School/COST%20CONSULTING/PRE%20CONTRACT/6.4%20COST%20PLANS/A300-399/A391/B%20Procurement/ES%20Reports/MMHSIA-FBC-(100603)(325)(Area%20Rev+On-Cos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xcel/Hannah%20Fox/Benchmarking/Offices/orange00.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CASH%20FLOW1"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Jobs/21050%20Headingley%20Primary%20School/COST%20CONSULTING/PRE%20CONTRACT/6.4%20COST%20PLANS/Excel/Hannah%20Fox/Benchmarking/Offices/orange0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mbsrvr01\users\MNew\PROJECTS\BTP%20Forms\BTP%20Agreed%20Commercial%20table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nisbet\dfs\J.N.P.%20Lspa\8059%20-%20Baginton%20Fields%20School\B\B3%20Estimates,%20Cost%20Plans%20&amp;%20Cost%20Checks\Cashflow%20based%20on%20Cost%20Estimate%207%2023020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obs/21050%20Headingley%20Primary%20School/COST%20CONSULTING/PRE%20CONTRACT/6.4%20COST%20PLANS/Documents%20and%20Settings/scott.RBA2.000/My%20Documents/Work%20Docs/My%20Documents/CERT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IC INFO"/>
      <sheetName val="areas"/>
      <sheetName val="Cover"/>
      <sheetName val="LocationalSplit"/>
      <sheetName val="PCA"/>
      <sheetName val="Exec Breakdown"/>
      <sheetName val="Exec Summary"/>
      <sheetName val="Generic Exec"/>
      <sheetName val="Spend Per Week"/>
      <sheetName val="Risks"/>
      <sheetName val="FeeSplit"/>
      <sheetName val="Analysis"/>
      <sheetName val="FeeCalc"/>
      <sheetName val="Variance"/>
    </sheetNames>
    <sheetDataSet>
      <sheetData sheetId="0" refreshError="1">
        <row r="5">
          <cell r="B5" t="str">
            <v>Bass Leisure Retail</v>
          </cell>
        </row>
        <row r="6">
          <cell r="B6" t="str">
            <v>Express by Holiday Inn</v>
          </cell>
        </row>
        <row r="7">
          <cell r="B7" t="str">
            <v>Junction 39, M1, Wakefield</v>
          </cell>
        </row>
        <row r="8">
          <cell r="B8" t="str">
            <v>Nr One</v>
          </cell>
        </row>
        <row r="10">
          <cell r="B10" t="str">
            <v>11/04/00</v>
          </cell>
        </row>
        <row r="54">
          <cell r="B54">
            <v>0.08</v>
          </cell>
        </row>
        <row r="55">
          <cell r="B55">
            <v>1.08</v>
          </cell>
        </row>
        <row r="56">
          <cell r="B56">
            <v>-2</v>
          </cell>
        </row>
        <row r="59">
          <cell r="B59" t="str">
            <v>Bedrooms</v>
          </cell>
        </row>
        <row r="60">
          <cell r="B60" t="str">
            <v>Reception</v>
          </cell>
        </row>
        <row r="61">
          <cell r="B61" t="str">
            <v>Great Room</v>
          </cell>
        </row>
        <row r="62">
          <cell r="B62" t="str">
            <v>Meeting Room</v>
          </cell>
        </row>
        <row r="63">
          <cell r="B63" t="str">
            <v>Circulation / Staircase Area</v>
          </cell>
        </row>
        <row r="64">
          <cell r="B64" t="str">
            <v>Back of House</v>
          </cell>
        </row>
        <row r="68">
          <cell r="B68" t="str">
            <v>Faithful&amp;Gould</v>
          </cell>
        </row>
        <row r="69">
          <cell r="B69" t="str">
            <v>Brigade House</v>
          </cell>
        </row>
        <row r="70">
          <cell r="B70" t="str">
            <v>86 Kirkstall Road</v>
          </cell>
        </row>
        <row r="71">
          <cell r="B71" t="str">
            <v>Leeds</v>
          </cell>
        </row>
        <row r="72">
          <cell r="B72" t="str">
            <v>LS3 1LS</v>
          </cell>
        </row>
      </sheetData>
      <sheetData sheetId="1" refreshError="1">
        <row r="10">
          <cell r="F10">
            <v>3</v>
          </cell>
          <cell r="N10">
            <v>0</v>
          </cell>
        </row>
        <row r="55">
          <cell r="H55">
            <v>0</v>
          </cell>
        </row>
        <row r="56">
          <cell r="H56">
            <v>0</v>
          </cell>
        </row>
        <row r="57">
          <cell r="H57">
            <v>2281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IC INFO"/>
      <sheetName val="Cover"/>
      <sheetName val="LocationalSplit"/>
      <sheetName val="PCA"/>
      <sheetName val="areas"/>
      <sheetName val="Exec Breakdown"/>
      <sheetName val="Exec Summary"/>
      <sheetName val="Generic Exec "/>
      <sheetName val="Spend Per Week"/>
      <sheetName val="Risks"/>
      <sheetName val="FeeSplit"/>
      <sheetName val="Analysis"/>
      <sheetName val="FeeCalc"/>
      <sheetName val="Variance"/>
    </sheetNames>
    <sheetDataSet>
      <sheetData sheetId="0">
        <row r="59">
          <cell r="B59" t="str">
            <v>Bedrooms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DATA SHEET"/>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B01"/>
      <sheetName val="FB02"/>
      <sheetName val="FB03"/>
      <sheetName val="FB04"/>
      <sheetName val="Occupancy Costs"/>
      <sheetName val="Acc Schedules"/>
      <sheetName val="SOC Reconcile"/>
      <sheetName val="Target Reconcile"/>
      <sheetName val="SOC Reconcile (0207)"/>
      <sheetName val="1607Target Reconcile"/>
      <sheetName val="FBCSummary"/>
      <sheetName val="DCAG Key"/>
      <sheetName val="PSC"/>
      <sheetName val="NB01"/>
      <sheetName val="NB02"/>
      <sheetName val="NB03"/>
      <sheetName val="NB04"/>
      <sheetName val="NB05"/>
      <sheetName val="NB06"/>
      <sheetName val="NB07"/>
      <sheetName val="CB01"/>
      <sheetName val="CB02"/>
      <sheetName val="CB03"/>
      <sheetName val="CB04"/>
      <sheetName val="SB01"/>
      <sheetName val="SB02"/>
      <sheetName val="SB04"/>
      <sheetName val="SB05"/>
      <sheetName val="SB05A"/>
      <sheetName val="SB06"/>
      <sheetName val="SB07"/>
      <sheetName val="SB08"/>
      <sheetName val="SB09"/>
      <sheetName val="SB10"/>
      <sheetName val="SB11"/>
      <sheetName val="Callington OC"/>
      <sheetName val="NS01"/>
      <sheetName val="Element(Not Used)"/>
      <sheetName val="Cashflow(Not Used)"/>
      <sheetName val="NS02"/>
      <sheetName val="NS03"/>
      <sheetName val="Diamond OC"/>
      <sheetName val="NS04AWP"/>
      <sheetName val="NS04PCT"/>
      <sheetName val="Portishead OC"/>
      <sheetName val="NS05A"/>
      <sheetName val="Longfox OC"/>
      <sheetName val="NS06A"/>
      <sheetName val="NS07"/>
      <sheetName val="Elham OC"/>
      <sheetName val="NS08"/>
      <sheetName val="BA01"/>
      <sheetName val="BA02"/>
      <sheetName val="BA03"/>
      <sheetName val="SG01"/>
      <sheetName val="SG02"/>
      <sheetName val="SG03"/>
      <sheetName val="SG04"/>
      <sheetName val="Hanham OC"/>
      <sheetName val="SG05"/>
      <sheetName val="Orchard OC"/>
      <sheetName val="R01"/>
      <sheetName val="Blackberry OC"/>
      <sheetName val="FBCNotes"/>
      <sheetName val="DeptAreaRecon"/>
      <sheetName val="Sheet2"/>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1"/>
      <sheetName val="2"/>
      <sheetName val="3"/>
      <sheetName val="4"/>
      <sheetName val="5"/>
      <sheetName val="6"/>
      <sheetName val="comp"/>
      <sheetName val="7"/>
      <sheetName val="8"/>
      <sheetName val="9"/>
    </sheetNames>
    <sheetDataSet>
      <sheetData sheetId="0"/>
      <sheetData sheetId="1"/>
      <sheetData sheetId="2"/>
      <sheetData sheetId="3"/>
      <sheetData sheetId="4"/>
      <sheetData sheetId="5">
        <row r="3">
          <cell r="B3">
            <v>37417</v>
          </cell>
        </row>
        <row r="4">
          <cell r="B4">
            <v>26458</v>
          </cell>
        </row>
      </sheetData>
      <sheetData sheetId="6"/>
      <sheetData sheetId="7"/>
      <sheetData sheetId="8"/>
      <sheetData sheetId="9"/>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 FLOW1"/>
      <sheetName val="FeeCalc"/>
    </sheetNames>
    <sheetDataSet>
      <sheetData sheetId="0" refreshError="1"/>
      <sheetData sheetId="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1"/>
      <sheetName val="2"/>
      <sheetName val="3"/>
      <sheetName val="4"/>
      <sheetName val="5"/>
      <sheetName val="6"/>
      <sheetName val="comp"/>
      <sheetName val="7"/>
      <sheetName val="8"/>
      <sheetName val="9"/>
    </sheetNames>
    <sheetDataSet>
      <sheetData sheetId="0"/>
      <sheetData sheetId="1"/>
      <sheetData sheetId="2"/>
      <sheetData sheetId="3"/>
      <sheetData sheetId="4"/>
      <sheetData sheetId="5">
        <row r="4">
          <cell r="B4">
            <v>26458</v>
          </cell>
        </row>
      </sheetData>
      <sheetData sheetId="6"/>
      <sheetData sheetId="7"/>
      <sheetData sheetId="8"/>
      <sheetData sheetId="9"/>
      <sheetData sheetId="10"/>
      <sheetData sheetId="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 val="Table 2"/>
      <sheetName val="Table 3"/>
      <sheetName val="Table 4 Summary Rates"/>
      <sheetName val="Table 4A - In M25"/>
      <sheetName val="Table 4B"/>
      <sheetName val="Table 4C"/>
      <sheetName val="Table 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F3"/>
      <sheetName val="SCURVE"/>
      <sheetName val="CASHFLOW"/>
      <sheetName val="Current"/>
      <sheetName val="Cash Flow Table"/>
    </sheetNames>
    <sheetDataSet>
      <sheetData sheetId="0"/>
      <sheetData sheetId="1"/>
      <sheetData sheetId="2" refreshError="1">
        <row r="3">
          <cell r="G3" t="str">
            <v>Baginton Fields School</v>
          </cell>
        </row>
        <row r="6">
          <cell r="D6">
            <v>876375.44504577888</v>
          </cell>
        </row>
        <row r="7">
          <cell r="D7" t="str">
            <v>April 2005</v>
          </cell>
        </row>
        <row r="8">
          <cell r="D8" t="str">
            <v>December 2005</v>
          </cell>
        </row>
        <row r="9">
          <cell r="D9" t="str">
            <v>5 %</v>
          </cell>
        </row>
        <row r="10">
          <cell r="D10" t="str">
            <v>1 Year</v>
          </cell>
        </row>
        <row r="12">
          <cell r="D12" t="str">
            <v>N/A</v>
          </cell>
        </row>
        <row r="19">
          <cell r="C19" t="str">
            <v>MONTH</v>
          </cell>
          <cell r="D19" t="str">
            <v>ANTICIPATED</v>
          </cell>
          <cell r="F19" t="str">
            <v>ANTICIPATED</v>
          </cell>
        </row>
        <row r="20">
          <cell r="D20" t="str">
            <v xml:space="preserve">MONTHLY NET </v>
          </cell>
          <cell r="F20" t="str">
            <v>MONTHLY</v>
          </cell>
        </row>
        <row r="21">
          <cell r="D21" t="str">
            <v>VALUATION (£)</v>
          </cell>
          <cell r="F21" t="str">
            <v>BALANCE (£)</v>
          </cell>
        </row>
        <row r="23">
          <cell r="C23" t="str">
            <v>April 2005</v>
          </cell>
          <cell r="D23">
            <v>0</v>
          </cell>
          <cell r="F23">
            <v>0</v>
          </cell>
        </row>
        <row r="24">
          <cell r="C24" t="str">
            <v>May 2005</v>
          </cell>
          <cell r="D24">
            <v>28920.389686510705</v>
          </cell>
          <cell r="F24">
            <v>28920.389686510705</v>
          </cell>
        </row>
        <row r="25">
          <cell r="C25" t="str">
            <v>June 2005</v>
          </cell>
          <cell r="D25">
            <v>72739.161938799647</v>
          </cell>
          <cell r="F25">
            <v>43818.772252288938</v>
          </cell>
        </row>
        <row r="26">
          <cell r="C26" t="str">
            <v>July 2005</v>
          </cell>
          <cell r="D26">
            <v>150736.57654787396</v>
          </cell>
          <cell r="F26">
            <v>77997.414609074316</v>
          </cell>
        </row>
        <row r="27">
          <cell r="C27" t="str">
            <v>August 2005</v>
          </cell>
          <cell r="D27">
            <v>270800.01251914568</v>
          </cell>
          <cell r="F27">
            <v>120063.43597127171</v>
          </cell>
        </row>
        <row r="28">
          <cell r="C28" t="str">
            <v>September 2005</v>
          </cell>
          <cell r="D28">
            <v>438187.72252288944</v>
          </cell>
          <cell r="F28">
            <v>167387.71000374376</v>
          </cell>
        </row>
        <row r="29">
          <cell r="C29" t="str">
            <v>October 2005</v>
          </cell>
          <cell r="D29">
            <v>600317.17985635856</v>
          </cell>
          <cell r="F29">
            <v>162129.45733346912</v>
          </cell>
        </row>
        <row r="30">
          <cell r="C30" t="str">
            <v>November 2005</v>
          </cell>
          <cell r="D30">
            <v>729144.37027808803</v>
          </cell>
          <cell r="F30">
            <v>128827.19042172947</v>
          </cell>
        </row>
        <row r="31">
          <cell r="C31" t="str">
            <v>December 2005</v>
          </cell>
          <cell r="D31">
            <v>822040.16745294048</v>
          </cell>
          <cell r="F31">
            <v>92895.797174852458</v>
          </cell>
        </row>
        <row r="32">
          <cell r="C32" t="str">
            <v>January 2006</v>
          </cell>
          <cell r="D32">
            <v>876375.44504577888</v>
          </cell>
          <cell r="F32">
            <v>54335.277592838393</v>
          </cell>
        </row>
      </sheetData>
      <sheetData sheetId="3" refreshError="1"/>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RT7"/>
      <sheetName val="BASIC INFO"/>
    </sheet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37"/>
  <sheetViews>
    <sheetView tabSelected="1" topLeftCell="A5" zoomScale="85" zoomScaleNormal="85" workbookViewId="0">
      <selection activeCell="D18" sqref="D18"/>
    </sheetView>
  </sheetViews>
  <sheetFormatPr defaultColWidth="11.1796875" defaultRowHeight="15.75"/>
  <cols>
    <col min="1" max="1" width="2.1796875" style="2" customWidth="1"/>
    <col min="2" max="2" width="27.81640625" style="2" customWidth="1"/>
    <col min="3" max="5" width="24.1796875" style="2" customWidth="1"/>
    <col min="6" max="6" width="12" style="2" customWidth="1"/>
    <col min="7" max="7" width="13.54296875" style="2" customWidth="1"/>
    <col min="8" max="8" width="11.1796875" style="2" hidden="1" customWidth="1"/>
    <col min="9" max="16384" width="11.1796875" style="2"/>
  </cols>
  <sheetData>
    <row r="2" spans="1:7" ht="15" customHeight="1">
      <c r="A2" s="1"/>
      <c r="B2" s="1"/>
      <c r="C2" s="1"/>
      <c r="D2" s="1"/>
      <c r="E2" s="1"/>
      <c r="F2" s="1"/>
      <c r="G2" s="1"/>
    </row>
    <row r="3" spans="1:7">
      <c r="C3" s="3"/>
      <c r="D3" s="3"/>
      <c r="E3" s="3"/>
    </row>
    <row r="4" spans="1:7">
      <c r="A4" s="1"/>
      <c r="B4" s="1"/>
      <c r="C4" s="1"/>
      <c r="F4" s="1"/>
      <c r="G4" s="1"/>
    </row>
    <row r="5" spans="1:7" ht="28.75">
      <c r="C5" s="3"/>
      <c r="D5" s="66" t="s">
        <v>38</v>
      </c>
      <c r="E5" s="3"/>
    </row>
    <row r="6" spans="1:7" ht="15" customHeight="1">
      <c r="A6" s="1"/>
      <c r="B6"/>
      <c r="C6" s="1"/>
      <c r="D6" s="66"/>
      <c r="E6" s="1"/>
      <c r="F6" s="1"/>
      <c r="G6" s="1"/>
    </row>
    <row r="7" spans="1:7" ht="15.75" customHeight="1">
      <c r="C7" s="3"/>
      <c r="D7" s="66"/>
      <c r="E7" s="3"/>
    </row>
    <row r="8" spans="1:7" ht="15.75" customHeight="1">
      <c r="C8" s="3"/>
      <c r="D8" s="66"/>
      <c r="E8" s="3"/>
    </row>
    <row r="9" spans="1:7" ht="15" customHeight="1">
      <c r="A9" s="1"/>
      <c r="B9" s="1"/>
      <c r="C9" s="1"/>
      <c r="D9" s="66"/>
      <c r="E9" s="1"/>
      <c r="F9" s="1"/>
      <c r="G9" s="1"/>
    </row>
    <row r="10" spans="1:7" ht="28.75">
      <c r="C10" s="3"/>
      <c r="D10" s="66"/>
      <c r="E10" s="3"/>
    </row>
    <row r="11" spans="1:7" ht="15" customHeight="1">
      <c r="A11" s="1"/>
      <c r="B11" s="1"/>
      <c r="C11" s="1"/>
      <c r="D11" s="66"/>
      <c r="E11" s="1"/>
      <c r="F11" s="1"/>
      <c r="G11" s="1"/>
    </row>
    <row r="12" spans="1:7" ht="33.75">
      <c r="C12" s="3"/>
      <c r="D12" s="71" t="s">
        <v>40</v>
      </c>
      <c r="E12" s="3"/>
    </row>
    <row r="13" spans="1:7" ht="28.75">
      <c r="C13" s="3"/>
      <c r="D13" s="66"/>
      <c r="E13" s="3"/>
    </row>
    <row r="14" spans="1:7" ht="15" customHeight="1">
      <c r="A14" s="4"/>
      <c r="B14" s="5"/>
      <c r="C14" s="5"/>
      <c r="D14" s="67"/>
      <c r="E14" s="5"/>
      <c r="F14" s="5"/>
      <c r="G14" s="5"/>
    </row>
    <row r="15" spans="1:7" ht="28.75">
      <c r="C15"/>
      <c r="D15" s="68"/>
    </row>
    <row r="16" spans="1:7" ht="28.75">
      <c r="D16" s="68" t="s">
        <v>54</v>
      </c>
    </row>
    <row r="17" spans="3:12" ht="28.75">
      <c r="D17" s="70">
        <v>44811</v>
      </c>
    </row>
    <row r="19" spans="3:12" ht="16">
      <c r="C19" s="6"/>
      <c r="E19" s="6"/>
    </row>
    <row r="20" spans="3:12" ht="28.75">
      <c r="D20" s="69"/>
      <c r="L20" s="7"/>
    </row>
    <row r="24" spans="3:12" ht="16">
      <c r="F24" s="6"/>
    </row>
    <row r="26" spans="3:12" ht="16">
      <c r="F26" s="6"/>
    </row>
    <row r="27" spans="3:12" ht="16">
      <c r="F27" s="6"/>
    </row>
    <row r="37" ht="15.75" customHeight="1"/>
  </sheetData>
  <phoneticPr fontId="16" type="noConversion"/>
  <printOptions horizontalCentered="1" verticalCentered="1"/>
  <pageMargins left="0.31496062992125984" right="0.31496062992125984" top="0.47244094488188981" bottom="0.39370078740157483" header="0.51181102362204722" footer="0.23622047244094491"/>
  <pageSetup paperSize="9" firstPageNumber="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ransitionEvaluation="1">
    <pageSetUpPr fitToPage="1"/>
  </sheetPr>
  <dimension ref="A1:S54"/>
  <sheetViews>
    <sheetView tabSelected="1" defaultGridColor="0" topLeftCell="A4" colorId="22" zoomScale="70" zoomScaleNormal="70" workbookViewId="0">
      <selection activeCell="D18" sqref="D18"/>
    </sheetView>
  </sheetViews>
  <sheetFormatPr defaultColWidth="12.453125" defaultRowHeight="16"/>
  <cols>
    <col min="1" max="1" width="7.1796875" style="9" customWidth="1"/>
    <col min="2" max="2" width="3.453125" style="9" customWidth="1"/>
    <col min="3" max="3" width="4.81640625" style="9" customWidth="1"/>
    <col min="4" max="4" width="13.81640625" style="9" customWidth="1"/>
    <col min="5" max="5" width="22.1796875" style="9" customWidth="1"/>
    <col min="6" max="6" width="2.1796875" style="9" customWidth="1"/>
    <col min="7" max="7" width="56.1796875" style="9" customWidth="1"/>
    <col min="8" max="8" width="3.453125" style="9" customWidth="1"/>
    <col min="9" max="9" width="4.81640625" style="9" customWidth="1"/>
    <col min="10" max="10" width="7.1796875" style="9" customWidth="1"/>
    <col min="11" max="11" width="39.81640625" style="9" customWidth="1"/>
    <col min="12" max="12" width="21.453125" style="9" customWidth="1"/>
    <col min="13" max="13" width="6" style="9" customWidth="1"/>
    <col min="14" max="14" width="22.453125" style="9" customWidth="1"/>
    <col min="15" max="16" width="3.453125" style="9" customWidth="1"/>
    <col min="17" max="17" width="7.1796875" style="9" customWidth="1"/>
    <col min="18" max="18" width="19.81640625" style="9" customWidth="1"/>
    <col min="19" max="19" width="13.81640625" style="9" customWidth="1"/>
    <col min="20" max="16384" width="12.453125" style="9"/>
  </cols>
  <sheetData>
    <row r="1" spans="2:19" ht="31.25">
      <c r="B1" s="8"/>
      <c r="D1" s="10"/>
      <c r="E1" s="10"/>
      <c r="F1" s="10"/>
      <c r="M1" s="11"/>
      <c r="N1" s="12"/>
      <c r="O1" s="12"/>
      <c r="P1" s="13" t="s">
        <v>31</v>
      </c>
    </row>
    <row r="2" spans="2:19" ht="23.25" customHeight="1" thickBot="1"/>
    <row r="3" spans="2:19" ht="11.25" customHeight="1">
      <c r="B3" s="14"/>
      <c r="C3" s="15"/>
      <c r="D3" s="15"/>
      <c r="E3" s="15"/>
      <c r="F3" s="15"/>
      <c r="G3" s="15"/>
      <c r="H3" s="15"/>
      <c r="I3" s="15"/>
      <c r="J3" s="15"/>
      <c r="K3" s="15"/>
      <c r="L3" s="15"/>
      <c r="M3" s="15"/>
      <c r="N3" s="15"/>
      <c r="O3" s="15"/>
      <c r="P3" s="16"/>
    </row>
    <row r="4" spans="2:19">
      <c r="B4" s="17"/>
      <c r="C4" s="9" t="s">
        <v>0</v>
      </c>
      <c r="E4" s="9" t="s">
        <v>38</v>
      </c>
      <c r="L4" s="18" t="s">
        <v>1</v>
      </c>
      <c r="N4" s="18">
        <v>7</v>
      </c>
      <c r="P4" s="19"/>
    </row>
    <row r="5" spans="2:19" ht="12" customHeight="1">
      <c r="B5" s="17"/>
      <c r="L5" s="18"/>
      <c r="N5" s="18"/>
      <c r="P5" s="19"/>
    </row>
    <row r="6" spans="2:19">
      <c r="B6" s="17"/>
      <c r="C6" s="9" t="s">
        <v>2</v>
      </c>
      <c r="E6" s="20" t="s">
        <v>32</v>
      </c>
      <c r="L6" s="18" t="s">
        <v>3</v>
      </c>
      <c r="N6" s="21" t="s">
        <v>52</v>
      </c>
      <c r="P6" s="19"/>
    </row>
    <row r="7" spans="2:19">
      <c r="B7" s="17"/>
      <c r="E7" s="20" t="s">
        <v>33</v>
      </c>
      <c r="L7" s="18"/>
      <c r="N7" s="18"/>
      <c r="P7" s="19"/>
      <c r="S7" s="22"/>
    </row>
    <row r="8" spans="2:19">
      <c r="B8" s="17"/>
      <c r="E8" s="20" t="s">
        <v>34</v>
      </c>
      <c r="L8" s="18" t="s">
        <v>4</v>
      </c>
      <c r="M8" s="23"/>
      <c r="N8" s="9" t="s">
        <v>37</v>
      </c>
      <c r="P8" s="19"/>
    </row>
    <row r="9" spans="2:19">
      <c r="B9" s="17"/>
      <c r="E9" s="20" t="s">
        <v>35</v>
      </c>
      <c r="L9" s="18"/>
      <c r="M9" s="23"/>
      <c r="N9" s="9" t="s">
        <v>36</v>
      </c>
      <c r="P9" s="19"/>
    </row>
    <row r="10" spans="2:19">
      <c r="B10" s="17"/>
      <c r="E10" s="20"/>
      <c r="L10" s="18"/>
      <c r="M10" s="23"/>
      <c r="P10" s="19"/>
    </row>
    <row r="11" spans="2:19">
      <c r="B11" s="17"/>
      <c r="E11" s="20"/>
      <c r="L11" s="18"/>
      <c r="M11" s="23"/>
      <c r="P11" s="19"/>
    </row>
    <row r="12" spans="2:19">
      <c r="B12" s="17"/>
      <c r="E12" s="24"/>
      <c r="L12" s="18" t="s">
        <v>5</v>
      </c>
      <c r="N12" s="21" t="s">
        <v>52</v>
      </c>
      <c r="P12" s="19"/>
    </row>
    <row r="13" spans="2:19" ht="11.25" customHeight="1" thickBot="1">
      <c r="B13" s="25"/>
      <c r="C13" s="26"/>
      <c r="D13" s="26"/>
      <c r="E13" s="26"/>
      <c r="F13" s="26"/>
      <c r="G13" s="26"/>
      <c r="H13" s="26"/>
      <c r="I13" s="26"/>
      <c r="J13" s="26"/>
      <c r="K13" s="26"/>
      <c r="L13" s="26"/>
      <c r="M13" s="26"/>
      <c r="N13" s="26"/>
      <c r="O13" s="26"/>
      <c r="P13" s="27"/>
    </row>
    <row r="14" spans="2:19">
      <c r="B14" s="17"/>
      <c r="E14" s="20"/>
      <c r="F14" s="20"/>
      <c r="G14" s="28"/>
      <c r="P14" s="19"/>
    </row>
    <row r="15" spans="2:19" ht="16.75" thickBot="1">
      <c r="B15" s="17"/>
      <c r="C15" s="9" t="s">
        <v>6</v>
      </c>
      <c r="E15" s="29" t="s">
        <v>39</v>
      </c>
      <c r="F15" s="20"/>
      <c r="G15" s="30"/>
      <c r="P15" s="19"/>
    </row>
    <row r="16" spans="2:19" ht="16.75" thickTop="1">
      <c r="B16" s="17"/>
      <c r="E16" s="29"/>
      <c r="F16" s="20"/>
      <c r="G16" s="30"/>
      <c r="I16" s="31"/>
      <c r="J16" s="32"/>
      <c r="K16" s="32"/>
      <c r="L16" s="33"/>
      <c r="M16" s="32"/>
      <c r="N16" s="32"/>
      <c r="O16" s="33"/>
      <c r="P16" s="19"/>
    </row>
    <row r="17" spans="2:19">
      <c r="B17" s="17"/>
      <c r="E17" s="34"/>
      <c r="F17" s="20"/>
      <c r="G17" s="30"/>
      <c r="I17" s="35"/>
      <c r="L17" s="36"/>
      <c r="O17" s="36"/>
      <c r="P17" s="19"/>
    </row>
    <row r="18" spans="2:19">
      <c r="B18" s="17"/>
      <c r="G18" s="19"/>
      <c r="I18" s="35"/>
      <c r="J18" s="22" t="s">
        <v>7</v>
      </c>
      <c r="L18" s="36"/>
      <c r="M18" s="37"/>
      <c r="N18" s="38">
        <v>1504379.24</v>
      </c>
      <c r="O18" s="36"/>
      <c r="P18" s="19"/>
    </row>
    <row r="19" spans="2:19">
      <c r="B19" s="17"/>
      <c r="C19" s="9" t="s">
        <v>8</v>
      </c>
      <c r="E19" s="39" t="s">
        <v>40</v>
      </c>
      <c r="G19" s="19"/>
      <c r="I19" s="35"/>
      <c r="L19" s="36"/>
      <c r="N19" s="38"/>
      <c r="O19" s="36"/>
      <c r="P19" s="19"/>
    </row>
    <row r="20" spans="2:19">
      <c r="B20" s="17"/>
      <c r="E20" s="39" t="s">
        <v>41</v>
      </c>
      <c r="G20" s="19"/>
      <c r="I20" s="35"/>
      <c r="J20" s="22" t="s">
        <v>9</v>
      </c>
      <c r="L20" s="40">
        <v>1.4999999999999999E-2</v>
      </c>
      <c r="M20" s="37"/>
      <c r="N20" s="38">
        <f>N18*L20</f>
        <v>22565.688599999998</v>
      </c>
      <c r="O20" s="36"/>
      <c r="P20" s="19"/>
    </row>
    <row r="21" spans="2:19">
      <c r="B21" s="17"/>
      <c r="E21" s="39" t="s">
        <v>42</v>
      </c>
      <c r="G21" s="19" t="s">
        <v>29</v>
      </c>
      <c r="I21" s="35"/>
      <c r="J21" s="22"/>
      <c r="L21" s="36"/>
      <c r="N21" s="38"/>
      <c r="O21" s="36"/>
      <c r="P21" s="19"/>
    </row>
    <row r="22" spans="2:19" ht="16.75" thickBot="1">
      <c r="B22" s="17"/>
      <c r="E22" s="39" t="s">
        <v>43</v>
      </c>
      <c r="G22" s="19"/>
      <c r="I22" s="41"/>
      <c r="J22" s="42"/>
      <c r="K22" s="42"/>
      <c r="L22" s="43"/>
      <c r="M22" s="42"/>
      <c r="N22" s="44"/>
      <c r="O22" s="43"/>
      <c r="P22" s="19"/>
    </row>
    <row r="23" spans="2:19" ht="16.75" thickTop="1">
      <c r="B23" s="17"/>
      <c r="E23" s="39"/>
      <c r="G23" s="19"/>
      <c r="I23" s="35"/>
      <c r="L23" s="36"/>
      <c r="N23" s="38"/>
      <c r="O23" s="36"/>
      <c r="P23" s="19"/>
      <c r="S23" s="22"/>
    </row>
    <row r="24" spans="2:19">
      <c r="B24" s="17"/>
      <c r="C24" s="9" t="s">
        <v>11</v>
      </c>
      <c r="E24" s="39" t="s">
        <v>44</v>
      </c>
      <c r="G24" s="19"/>
      <c r="I24" s="35"/>
      <c r="J24" s="22" t="s">
        <v>10</v>
      </c>
      <c r="L24" s="36"/>
      <c r="M24" s="37"/>
      <c r="N24" s="38">
        <f>N18-N20</f>
        <v>1481813.5514</v>
      </c>
      <c r="O24" s="36"/>
      <c r="P24" s="19"/>
    </row>
    <row r="25" spans="2:19">
      <c r="B25" s="17"/>
      <c r="E25" s="39" t="s">
        <v>45</v>
      </c>
      <c r="G25" s="19"/>
      <c r="I25" s="35"/>
      <c r="L25" s="36"/>
      <c r="N25" s="38"/>
      <c r="O25" s="36"/>
      <c r="P25" s="19"/>
    </row>
    <row r="26" spans="2:19">
      <c r="B26" s="17"/>
      <c r="E26" s="39" t="s">
        <v>46</v>
      </c>
      <c r="G26" s="19"/>
      <c r="I26" s="35"/>
      <c r="J26" s="22" t="s">
        <v>12</v>
      </c>
      <c r="K26" s="9" t="s">
        <v>13</v>
      </c>
      <c r="L26" s="36"/>
      <c r="O26" s="36"/>
      <c r="P26" s="19"/>
    </row>
    <row r="27" spans="2:19">
      <c r="B27" s="17"/>
      <c r="E27" s="39" t="s">
        <v>47</v>
      </c>
      <c r="G27" s="19"/>
      <c r="I27" s="35"/>
      <c r="K27" s="9" t="s">
        <v>14</v>
      </c>
      <c r="L27" s="36"/>
      <c r="M27" s="37"/>
      <c r="N27" s="38">
        <v>1175884.45</v>
      </c>
      <c r="O27" s="36"/>
      <c r="P27" s="19"/>
      <c r="R27" s="45"/>
    </row>
    <row r="28" spans="2:19">
      <c r="B28" s="17"/>
      <c r="E28" s="39" t="s">
        <v>48</v>
      </c>
      <c r="G28" s="19"/>
      <c r="I28" s="35"/>
      <c r="L28" s="46"/>
      <c r="N28" s="38"/>
      <c r="O28" s="36"/>
      <c r="P28" s="19"/>
    </row>
    <row r="29" spans="2:19">
      <c r="B29" s="17"/>
      <c r="E29" s="39"/>
      <c r="G29" s="19"/>
      <c r="I29" s="35"/>
      <c r="L29" s="46"/>
      <c r="N29" s="38"/>
      <c r="O29" s="36"/>
      <c r="P29" s="19"/>
    </row>
    <row r="30" spans="2:19" ht="16.75" thickBot="1">
      <c r="B30" s="17"/>
      <c r="E30" s="39"/>
      <c r="F30" s="37"/>
      <c r="G30" s="19"/>
      <c r="I30" s="41"/>
      <c r="J30" s="42"/>
      <c r="K30" s="42"/>
      <c r="L30" s="43"/>
      <c r="M30" s="42"/>
      <c r="N30" s="44"/>
      <c r="O30" s="43"/>
      <c r="P30" s="19"/>
    </row>
    <row r="31" spans="2:19" ht="16.75" thickTop="1">
      <c r="B31" s="17"/>
      <c r="C31" s="9" t="s">
        <v>15</v>
      </c>
      <c r="E31" s="65">
        <v>1504380.01</v>
      </c>
      <c r="F31" s="45"/>
      <c r="G31" s="19"/>
      <c r="I31" s="35"/>
      <c r="L31" s="36"/>
      <c r="N31" s="38"/>
      <c r="O31" s="36"/>
      <c r="P31" s="19"/>
    </row>
    <row r="32" spans="2:19">
      <c r="B32" s="17"/>
      <c r="F32" s="45"/>
      <c r="G32" s="47"/>
      <c r="I32" s="35"/>
      <c r="J32" s="22" t="s">
        <v>16</v>
      </c>
      <c r="K32" s="22"/>
      <c r="L32" s="48"/>
      <c r="M32" s="49"/>
      <c r="N32" s="50">
        <f>SUM(N24-N27)</f>
        <v>305929.10140000004</v>
      </c>
      <c r="O32" s="36"/>
      <c r="P32" s="19"/>
    </row>
    <row r="33" spans="2:16" ht="16.75" thickBot="1">
      <c r="B33" s="17"/>
      <c r="C33" s="9" t="s">
        <v>17</v>
      </c>
      <c r="E33" s="73" t="s">
        <v>49</v>
      </c>
      <c r="F33" s="73"/>
      <c r="G33" s="74"/>
      <c r="I33" s="41"/>
      <c r="J33" s="42"/>
      <c r="K33" s="42"/>
      <c r="L33" s="43"/>
      <c r="M33" s="42"/>
      <c r="N33" s="51"/>
      <c r="O33" s="43"/>
      <c r="P33" s="19"/>
    </row>
    <row r="34" spans="2:16" ht="16.75" thickTop="1">
      <c r="B34" s="17"/>
      <c r="E34" s="73"/>
      <c r="F34" s="73"/>
      <c r="G34" s="74"/>
      <c r="N34" s="45"/>
      <c r="P34" s="19"/>
    </row>
    <row r="35" spans="2:16" ht="10.5" customHeight="1" thickBot="1">
      <c r="B35" s="25"/>
      <c r="C35" s="26"/>
      <c r="D35" s="26"/>
      <c r="E35" s="26"/>
      <c r="F35" s="26"/>
      <c r="G35" s="27"/>
      <c r="H35" s="26"/>
      <c r="I35" s="26"/>
      <c r="J35" s="26"/>
      <c r="K35" s="26"/>
      <c r="L35" s="26"/>
      <c r="M35" s="26"/>
      <c r="N35" s="52"/>
      <c r="O35" s="26"/>
      <c r="P35" s="27"/>
    </row>
    <row r="36" spans="2:16" ht="7.5" customHeight="1">
      <c r="B36" s="17"/>
      <c r="G36" s="19"/>
      <c r="N36" s="45"/>
      <c r="P36" s="19"/>
    </row>
    <row r="37" spans="2:16">
      <c r="B37" s="17"/>
      <c r="C37" s="22" t="s">
        <v>18</v>
      </c>
      <c r="G37" s="19"/>
      <c r="I37" s="9" t="s">
        <v>30</v>
      </c>
      <c r="L37" s="53"/>
      <c r="N37" s="45"/>
      <c r="P37" s="19"/>
    </row>
    <row r="38" spans="2:16" ht="11.25" customHeight="1">
      <c r="B38" s="17"/>
      <c r="G38" s="19"/>
      <c r="N38" s="45"/>
      <c r="P38" s="19"/>
    </row>
    <row r="39" spans="2:16">
      <c r="B39" s="17"/>
      <c r="C39" s="54" t="s">
        <v>19</v>
      </c>
      <c r="D39" s="54" t="s">
        <v>20</v>
      </c>
      <c r="E39" s="54"/>
      <c r="F39" s="54"/>
      <c r="G39" s="54"/>
      <c r="H39" s="17"/>
      <c r="I39" s="76" t="s">
        <v>53</v>
      </c>
      <c r="J39" s="76"/>
      <c r="K39" s="76"/>
      <c r="L39" s="76"/>
      <c r="M39" s="18" t="s">
        <v>21</v>
      </c>
      <c r="N39" s="55">
        <f>(N32)</f>
        <v>305929.10140000004</v>
      </c>
      <c r="O39" s="9" t="s">
        <v>22</v>
      </c>
      <c r="P39" s="19"/>
    </row>
    <row r="40" spans="2:16" ht="3.75" customHeight="1">
      <c r="B40" s="17"/>
      <c r="C40" s="54"/>
      <c r="D40" s="54"/>
      <c r="E40" s="54"/>
      <c r="F40" s="54"/>
      <c r="G40" s="54"/>
      <c r="H40" s="17"/>
      <c r="I40" s="76"/>
      <c r="J40" s="76"/>
      <c r="K40" s="76"/>
      <c r="L40" s="76"/>
      <c r="M40" s="18"/>
      <c r="N40" s="45"/>
      <c r="P40" s="19"/>
    </row>
    <row r="41" spans="2:16" ht="17.25" customHeight="1">
      <c r="B41" s="17"/>
      <c r="C41" s="56" t="s">
        <v>23</v>
      </c>
      <c r="D41" s="72" t="s">
        <v>24</v>
      </c>
      <c r="E41" s="72"/>
      <c r="F41" s="72"/>
      <c r="G41" s="72"/>
      <c r="H41" s="17"/>
      <c r="I41" s="76"/>
      <c r="J41" s="76"/>
      <c r="K41" s="76"/>
      <c r="L41" s="76"/>
      <c r="N41" s="45"/>
      <c r="P41" s="19"/>
    </row>
    <row r="42" spans="2:16">
      <c r="B42" s="17"/>
      <c r="C42" s="54"/>
      <c r="D42" s="72"/>
      <c r="E42" s="72"/>
      <c r="F42" s="72"/>
      <c r="G42" s="72"/>
      <c r="H42" s="17"/>
      <c r="N42" s="45"/>
      <c r="P42" s="19"/>
    </row>
    <row r="43" spans="2:16" ht="7.5" customHeight="1">
      <c r="B43" s="17"/>
      <c r="C43" s="54"/>
      <c r="D43" s="72"/>
      <c r="E43" s="72"/>
      <c r="F43" s="72"/>
      <c r="G43" s="72"/>
      <c r="H43" s="17"/>
      <c r="N43" s="45"/>
      <c r="P43" s="19"/>
    </row>
    <row r="44" spans="2:16" ht="4.5" customHeight="1">
      <c r="B44" s="17"/>
      <c r="C44" s="54"/>
      <c r="H44" s="17"/>
      <c r="M44" s="57"/>
      <c r="N44" s="45"/>
      <c r="P44" s="19"/>
    </row>
    <row r="45" spans="2:16">
      <c r="B45" s="17"/>
      <c r="C45" s="56" t="s">
        <v>25</v>
      </c>
      <c r="D45" s="72" t="s">
        <v>26</v>
      </c>
      <c r="E45" s="72"/>
      <c r="F45" s="72"/>
      <c r="G45" s="75"/>
      <c r="H45" s="17"/>
      <c r="N45" s="45"/>
      <c r="P45" s="19"/>
    </row>
    <row r="46" spans="2:16">
      <c r="B46" s="17"/>
      <c r="D46" s="72"/>
      <c r="E46" s="72"/>
      <c r="F46" s="72"/>
      <c r="G46" s="75"/>
      <c r="I46" s="9" t="s">
        <v>27</v>
      </c>
      <c r="M46" s="57"/>
      <c r="P46" s="19"/>
    </row>
    <row r="47" spans="2:16" ht="12" customHeight="1">
      <c r="B47" s="17"/>
      <c r="C47" s="54"/>
      <c r="D47" s="72"/>
      <c r="E47" s="72"/>
      <c r="F47" s="72"/>
      <c r="G47" s="72"/>
      <c r="H47" s="17"/>
      <c r="M47" s="57"/>
      <c r="P47" s="19"/>
    </row>
    <row r="48" spans="2:16">
      <c r="B48" s="17"/>
      <c r="C48" s="58">
        <v>4</v>
      </c>
      <c r="D48" s="54" t="s">
        <v>51</v>
      </c>
      <c r="H48" s="17"/>
      <c r="I48" s="18"/>
      <c r="K48" s="22"/>
      <c r="M48" s="57"/>
      <c r="P48" s="19"/>
    </row>
    <row r="49" spans="1:16">
      <c r="B49" s="17"/>
      <c r="C49" s="58"/>
      <c r="H49" s="17"/>
      <c r="I49" s="18" t="s">
        <v>28</v>
      </c>
      <c r="K49" s="22" t="s">
        <v>50</v>
      </c>
      <c r="M49" s="57"/>
      <c r="P49" s="19"/>
    </row>
    <row r="50" spans="1:16">
      <c r="B50" s="17"/>
      <c r="C50" s="56"/>
      <c r="D50" s="59"/>
      <c r="E50" s="59"/>
      <c r="F50" s="59"/>
      <c r="G50" s="60"/>
      <c r="I50" s="18"/>
      <c r="K50" s="57"/>
      <c r="M50" s="57"/>
      <c r="P50" s="19"/>
    </row>
    <row r="51" spans="1:16" ht="16.75" thickBot="1">
      <c r="B51" s="25"/>
      <c r="C51" s="26"/>
      <c r="D51" s="61"/>
      <c r="E51" s="61"/>
      <c r="F51" s="61"/>
      <c r="G51" s="62"/>
      <c r="H51" s="26"/>
      <c r="I51" s="26"/>
      <c r="J51" s="26"/>
      <c r="K51" s="26"/>
      <c r="L51" s="26"/>
      <c r="M51" s="26"/>
      <c r="N51" s="52"/>
      <c r="O51" s="26"/>
      <c r="P51" s="27"/>
    </row>
    <row r="52" spans="1:16">
      <c r="N52" s="45"/>
    </row>
    <row r="53" spans="1:16">
      <c r="A53" s="63"/>
      <c r="N53" s="64"/>
      <c r="O53" s="12"/>
      <c r="P53" s="12"/>
    </row>
    <row r="54" spans="1:16">
      <c r="N54" s="45"/>
    </row>
  </sheetData>
  <mergeCells count="4">
    <mergeCell ref="D41:G43"/>
    <mergeCell ref="E33:G34"/>
    <mergeCell ref="D45:G47"/>
    <mergeCell ref="I39:L41"/>
  </mergeCells>
  <phoneticPr fontId="2" type="noConversion"/>
  <conditionalFormatting sqref="E6:E11">
    <cfRule type="cellIs" dxfId="1" priority="2" stopIfTrue="1" operator="equal">
      <formula>0</formula>
    </cfRule>
  </conditionalFormatting>
  <conditionalFormatting sqref="E14:G14 F15:G17">
    <cfRule type="cellIs" dxfId="0" priority="1" stopIfTrue="1" operator="equal">
      <formula>0</formula>
    </cfRule>
  </conditionalFormatting>
  <dataValidations count="2">
    <dataValidation type="list" allowBlank="1" showInputMessage="1" showErrorMessage="1" sqref="R8" xr:uid="{00000000-0002-0000-0100-000000000000}">
      <formula1>$S$8:$S$10</formula1>
    </dataValidation>
    <dataValidation type="list" allowBlank="1" showInputMessage="1" showErrorMessage="1" sqref="R9" xr:uid="{00000000-0002-0000-0100-000001000000}">
      <formula1>$S$8:$S$12</formula1>
    </dataValidation>
  </dataValidations>
  <printOptions horizontalCentered="1" verticalCentered="1"/>
  <pageMargins left="0.31496062992125984" right="0.31496062992125984" top="0.47244094488188981" bottom="0.39370078740157483" header="0.51181102362204722" footer="0.23622047244094491"/>
  <pageSetup paperSize="9" scale="62"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Cover</vt:lpstr>
      <vt:lpstr>Valuation Cert</vt:lpstr>
      <vt:lpstr>Cover!Print_Area</vt:lpstr>
      <vt:lpstr>'Valuation Cert'!Print_Area</vt:lpstr>
    </vt:vector>
  </TitlesOfParts>
  <Company>Cyril Sweett Group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Geoff Cairns</dc:creator>
  <cp:lastModifiedBy>Scott Ripley</cp:lastModifiedBy>
  <cp:lastPrinted>2022-01-31T09:00:29Z</cp:lastPrinted>
  <dcterms:created xsi:type="dcterms:W3CDTF">2009-06-25T06:52:25Z</dcterms:created>
  <dcterms:modified xsi:type="dcterms:W3CDTF">2022-09-07T11:00:37Z</dcterms:modified>
</cp:coreProperties>
</file>